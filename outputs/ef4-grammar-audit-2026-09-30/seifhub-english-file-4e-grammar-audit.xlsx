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2e3822a41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2071fb496244e1"/>
    <x:sheet xmlns:r="http://schemas.openxmlformats.org/officeDocument/2006/relationships" name="Coverage Map" sheetId="2" r:id="R6eb0f416a6a84cb6"/>
    <x:sheet xmlns:r="http://schemas.openxmlformats.org/officeDocument/2006/relationships" name="Mini Test Inventory" sheetId="3" r:id="R15634d25f9834c95"/>
    <x:sheet xmlns:r="http://schemas.openxmlformats.org/officeDocument/2006/relationships" name="Course Tests" sheetId="4" r:id="Reeb6ad61aee54808"/>
    <x:sheet xmlns:r="http://schemas.openxmlformats.org/officeDocument/2006/relationships" name="Recommendations" sheetId="5" r:id="R5d371baaedaa4db5"/>
    <x:sheet xmlns:r="http://schemas.openxmlformats.org/officeDocument/2006/relationships" name="Sources &amp; Method" sheetId="6" r:id="R7107365a7c7e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6"/>
      <x:color rgb="FF173144"/>
      <x:name val="Arial"/>
    </x:font>
    <x:font>
      <x:i/>
      <x:sz val="10"/>
      <x:color rgb="FF52687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144"/>
      </x:patternFill>
    </x:fill>
    <x:fill>
      <x:patternFill patternType="solid">
        <x:fgColor rgb="FFF4F7F9"/>
      </x:patternFill>
    </x:fill>
  </x:fills>
  <x:borders count="16">
    <x:border/>
    <x:border>
      <x:bottom style="thin">
        <x:color rgb="FF9FB7C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8E2E7"/>
      </x:right>
      <x:bottom style="thin">
        <x:color rgb="FFD8E2E7"/>
      </x:bottom>
    </x:border>
    <x:border>
      <x:left style="thin">
        <x:color rgb="FFD8E2E7"/>
      </x:left>
      <x:right style="thin">
        <x:color rgb="FFD8E2E7"/>
      </x:right>
      <x:bottom style="thin">
        <x:color rgb="FFD8E2E7"/>
      </x:bottom>
    </x:border>
    <x:border>
      <x:left style="thin">
        <x:color rgb="FFD8E2E7"/>
      </x:left>
      <x:right style="thin">
        <x:color rgb="FFFFFFFF"/>
      </x:right>
      <x:bottom style="thin">
        <x:color rgb="FFD8E2E7"/>
      </x:bottom>
    </x:border>
    <x:border>
      <x:right style="thin">
        <x:color rgb="FFD8E2E7"/>
      </x:right>
      <x:top style="thin">
        <x:color rgb="FFD8E2E7"/>
      </x:top>
      <x:bottom style="thin">
        <x:color rgb="FFD8E2E7"/>
      </x:bottom>
    </x:border>
    <x:border>
      <x:left style="thin">
        <x:color rgb="FFD8E2E7"/>
      </x:left>
      <x:right style="thin">
        <x:color rgb="FFD8E2E7"/>
      </x:right>
      <x:top style="thin">
        <x:color rgb="FFD8E2E7"/>
      </x:top>
      <x:bottom style="thin">
        <x:color rgb="FFD8E2E7"/>
      </x:bottom>
    </x:border>
    <x:border>
      <x:left style="thin">
        <x:color rgb="FFD8E2E7"/>
      </x:left>
      <x:right style="thin">
        <x:color rgb="FFFFFFFF"/>
      </x:right>
      <x:top style="thin">
        <x:color rgb="FFD8E2E7"/>
      </x:top>
      <x:bottom style="thin">
        <x:color rgb="FFD8E2E7"/>
      </x:bottom>
    </x:border>
    <x:border>
      <x:right style="thin">
        <x:color rgb="FFD8E2E7"/>
      </x:right>
      <x:top style="thin">
        <x:color rgb="FFD8E2E7"/>
      </x:top>
    </x:border>
    <x:border>
      <x:left style="thin">
        <x:color rgb="FFD8E2E7"/>
      </x:left>
      <x:right style="thin">
        <x:color rgb="FFD8E2E7"/>
      </x:right>
      <x:top style="thin">
        <x:color rgb="FFD8E2E7"/>
      </x:top>
    </x:border>
    <x:border>
      <x:left style="thin">
        <x:color rgb="FFD8E2E7"/>
      </x:left>
      <x:right style="thin">
        <x:color rgb="FFFFFFFF"/>
      </x:right>
      <x:top style="thin">
        <x:color rgb="FFD8E2E7"/>
      </x:top>
    </x:border>
    <x:border>
      <x:right style="thin">
        <x:color rgb="FFFFFFFF"/>
      </x:right>
      <x:bottom style="thin">
        <x:color rgb="FFD8E2E7"/>
      </x:bottom>
    </x:border>
    <x:border>
      <x:left style="thin">
        <x:color rgb="FFFFFFFF"/>
      </x:left>
      <x:right style="thin">
        <x:color rgb="FFFFFFFF"/>
      </x:right>
      <x:bottom style="thin">
        <x:color rgb="FFD8E2E7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200" fontId="4" fillId="3" borderId="9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8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1867aa59a40df" /><Relationship Type="http://schemas.openxmlformats.org/officeDocument/2006/relationships/theme" Target="/xl/theme/theme1.xml" Id="R284a96de4b824326" /><Relationship Type="http://schemas.openxmlformats.org/officeDocument/2006/relationships/sharedStrings" Target="/xl/sharedStrings.xml" Id="Rd0942e918df94d58" /><Relationship Type="http://schemas.openxmlformats.org/officeDocument/2006/relationships/worksheet" Target="/xl/worksheets/sheet1.xml" Id="R392071fb496244e1" /><Relationship Type="http://schemas.openxmlformats.org/officeDocument/2006/relationships/worksheet" Target="/xl/worksheets/sheet2.xml" Id="R6eb0f416a6a84cb6" /><Relationship Type="http://schemas.openxmlformats.org/officeDocument/2006/relationships/worksheet" Target="/xl/worksheets/sheet3.xml" Id="R15634d25f9834c95" /><Relationship Type="http://schemas.openxmlformats.org/officeDocument/2006/relationships/worksheet" Target="/xl/worksheets/sheet4.xml" Id="Reeb6ad61aee54808" /><Relationship Type="http://schemas.openxmlformats.org/officeDocument/2006/relationships/worksheet" Target="/xl/worksheets/sheet5.xml" Id="R5d371baaedaa4db5" /><Relationship Type="http://schemas.openxmlformats.org/officeDocument/2006/relationships/worksheet" Target="/xl/worksheets/sheet6.xml" Id="R7107365a7c7e44f8" /></Relationships>
</file>

<file path=xl/tables/table1.xml><?xml version="1.0" encoding="utf-8"?>
<x:table xmlns:x="http://schemas.openxmlformats.org/spreadsheetml/2006/main" id="6" name="CoverageSummaryTable" displayName="CoverageSummaryTable" ref="A4:I12" headerRowCount="1" totalsRowCount="0" totalsRowShown="0">
  <x:autoFilter ref="A4:I12"/>
  <x:tableColumns count="9">
    <x:tableColumn id="1" name="Level"/>
    <x:tableColumn id="2" name="CEFR"/>
    <x:tableColumn id="3" name="Syllabus points"/>
    <x:tableColumn id="4" name="Direct"/>
    <x:tableColumn id="5" name="Partial"/>
    <x:tableColumn id="6" name="Adjacent level"/>
    <x:tableColumn id="7" name="Missing"/>
    <x:tableColumn id="8" name="Direct coverage"/>
    <x:tableColumn id="9" name="Addressed incl. part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verageMapTable" displayName="CoverageMapTable" ref="A4:K196" headerRowCount="1" totalsRowCount="0" totalsRowShown="0">
  <x:autoFilter ref="A4:K196"/>
  <x:tableColumns count="11">
    <x:tableColumn id="1" name="English File level"/>
    <x:tableColumn id="2" name="CEFR"/>
    <x:tableColumn id="3" name="File"/>
    <x:tableColumn id="4" name="Lesson"/>
    <x:tableColumn id="5" name="Textbook grammar point"/>
    <x:tableColumn id="6" name="Coverage status"/>
    <x:tableColumn id="7" name="Matched mini tests"/>
    <x:tableColumn id="8" name="Matched test levels"/>
    <x:tableColumn id="9" name="Audit note"/>
    <x:tableColumn id="10" name="Priority"/>
    <x:tableColumn id="11" name="Syllabus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iniTestInventoryTable" displayName="MiniTestInventoryTable" ref="A4:I89" headerRowCount="1" totalsRowCount="0" totalsRowShown="0">
  <x:autoFilter ref="A4:I89"/>
  <x:tableColumns count="9">
    <x:tableColumn id="1" name="Test ID"/>
    <x:tableColumn id="2" name="Title"/>
    <x:tableColumn id="3" name="CEFR tags"/>
    <x:tableColumn id="4" name="Items"/>
    <x:tableColumn id="5" name="Short description"/>
    <x:tableColumn id="6" name="Mapped English File references"/>
    <x:tableColumn id="7" name="Overlap family"/>
    <x:tableColumn id="8" name="Directly used in map?"/>
    <x:tableColumn id="9" name="Repository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ourseTestInventoryTable" displayName="CourseTestInventoryTable" ref="A4:J24" headerRowCount="1" totalsRowCount="0" totalsRowShown="0">
  <x:autoFilter ref="A4:J24"/>
  <x:tableColumns count="10">
    <x:tableColumn id="1" name="In EF4 audit scope"/>
    <x:tableColumn id="2" name="Provider"/>
    <x:tableColumn id="3" name="Course"/>
    <x:tableColumn id="4" name="Title"/>
    <x:tableColumn id="5" name="Internal level"/>
    <x:tableColumn id="6" name="Kind"/>
    <x:tableColumn id="7" name="Grammar sections"/>
    <x:tableColumn id="8" name="Grammar items"/>
    <x:tableColumn id="9" name="Total sections"/>
    <x:tableColumn id="10" name="Repository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commendationsTable" displayName="RecommendationsTable" ref="A4:H39" headerRowCount="1" totalsRowCount="0" totalsRowShown="0">
  <x:autoFilter ref="A4:H39"/>
  <x:tableColumns count="8">
    <x:tableColumn id="1" name="Priority"/>
    <x:tableColumn id="2" name="Level"/>
    <x:tableColumn id="3" name="Target files"/>
    <x:tableColumn id="4" name="Proposed test or workstream"/>
    <x:tableColumn id="5" name="Scope"/>
    <x:tableColumn id="6" name="Reason"/>
    <x:tableColumn id="7" name="Suggested tags"/>
    <x:tableColumn id="8" name="Suggested item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ourcesTable" displayName="SourcesTable" ref="A4:D19" headerRowCount="1" totalsRowCount="0" totalsRowShown="0">
  <x:autoFilter ref="A4:D19"/>
  <x:tableColumns count="4">
    <x:tableColumn id="1" name="Source"/>
    <x:tableColumn id="2" name="Location"/>
    <x:tableColumn id="3" name="Use in audit"/>
    <x:tableColumn id="4" name="Authority /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eb820995a64e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c70a8fe67a4c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fa3a94e4ae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63b00b49984d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529e7c08d142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d583c22e2114d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0" hidden="0" customWidth="1"/>
    <x:col min="3" max="3" width="40" hidden="0" customWidth="1"/>
    <x:col min="4" max="4" width="40" hidden="0" customWidth="1"/>
    <x:col min="5" max="5" width="12" hidden="0" customWidth="1"/>
    <x:col min="6" max="6" width="18" hidden="0" customWidth="1"/>
    <x:col min="7" max="7" width="12" hidden="0" customWidth="1"/>
    <x:col min="8" max="8" width="18" hidden="0" customWidth="1"/>
    <x:col min="9" max="9" width="22" hidden="0" customWidth="1"/>
  </x:cols>
  <x:sheetData>
    <x:row r="1">
      <x:c r="A1" s="2" t="str">
        <x:v>SeifHub grammar-test audit</x:v>
      </x:c>
      <x:c r="B1" s="43"/>
      <x:c r="C1" s="43"/>
      <x:c r="D1" s="43"/>
      <x:c r="E1" s="43"/>
      <x:c r="F1" s="43"/>
      <x:c r="G1" s="43"/>
      <x:c r="H1" s="43"/>
      <x:c r="I1" s="43"/>
    </x:row>
    <x:row r="2">
      <x:c r="A2" s="3" t="str">
        <x:v>English File 4th Edition (normal/British edition) compared with the repository snapshot on 2026-09-30.</x:v>
      </x:c>
      <x:c r="B2" s="44"/>
      <x:c r="C2" s="44"/>
      <x:c r="D2" s="44"/>
      <x:c r="E2" s="44"/>
      <x:c r="F2" s="44"/>
      <x:c r="G2" s="44"/>
      <x:c r="H2" s="44"/>
      <x:c r="I2" s="44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34" customHeight="1">
      <x:c r="A4" s="15" t="str">
        <x:v>Level</x:v>
      </x:c>
      <x:c r="B4" s="16" t="str">
        <x:v>CEFR</x:v>
      </x:c>
      <x:c r="C4" s="16" t="str">
        <x:v>Syllabus points</x:v>
      </x:c>
      <x:c r="D4" s="16" t="str">
        <x:v>Direct</x:v>
      </x:c>
      <x:c r="E4" s="16" t="str">
        <x:v>Partial</x:v>
      </x:c>
      <x:c r="F4" s="16" t="str">
        <x:v>Adjacent level</x:v>
      </x:c>
      <x:c r="G4" s="16" t="str">
        <x:v>Missing</x:v>
      </x:c>
      <x:c r="H4" s="16" t="str">
        <x:v>Direct coverage</x:v>
      </x:c>
      <x:c r="I4" s="17" t="str">
        <x:v>Addressed incl. partial</x:v>
      </x:c>
    </x:row>
    <x:row r="5">
      <x:c r="A5" s="20" t="str">
        <x:v>Beginner</x:v>
      </x:c>
      <x:c r="B5" s="20" t="str">
        <x:v>A1</x:v>
      </x:c>
      <x:c r="C5" s="21" t="n">
        <x:f>COUNTIF('Coverage Map'!$A$5:$A$196,A5)</x:f>
        <x:v>24</x:v>
      </x:c>
      <x:c r="D5" s="21" t="n">
        <x:f>COUNTIFS('Coverage Map'!$A$5:$A$196,A5,'Coverage Map'!$F$5:$F$196,"Direct")</x:f>
        <x:v>0</x:v>
      </x:c>
      <x:c r="E5" s="21" t="n">
        <x:f>COUNTIFS('Coverage Map'!$A$5:$A$196,A5,'Coverage Map'!$F$5:$F$196,"Partial")</x:f>
        <x:v>0</x:v>
      </x:c>
      <x:c r="F5" s="21" t="n">
        <x:f>COUNTIFS('Coverage Map'!$A$5:$A$196,A5,'Coverage Map'!$F$5:$F$196,"Adjacent level")</x:f>
        <x:v>16</x:v>
      </x:c>
      <x:c r="G5" s="21" t="n">
        <x:f>COUNTIFS('Coverage Map'!$A$5:$A$196,A5,'Coverage Map'!$F$5:$F$196,"Missing")</x:f>
        <x:v>8</x:v>
      </x:c>
      <x:c r="H5" s="22" t="n">
        <x:f>D5/C5</x:f>
        <x:v>0</x:v>
      </x:c>
      <x:c r="I5" s="22" t="n">
        <x:f>(D5+E5)/C5</x:f>
        <x:v>0</x:v>
      </x:c>
    </x:row>
    <x:row r="6">
      <x:c r="A6" s="20" t="str">
        <x:v>Elementary</x:v>
      </x:c>
      <x:c r="B6" s="20" t="str">
        <x:v>A1+</x:v>
      </x:c>
      <x:c r="C6" s="21" t="n">
        <x:f>COUNTIF('Coverage Map'!$A$5:$A$196,A6)</x:f>
        <x:v>36</x:v>
      </x:c>
      <x:c r="D6" s="21" t="n">
        <x:f>COUNTIFS('Coverage Map'!$A$5:$A$196,A6,'Coverage Map'!$F$5:$F$196,"Direct")</x:f>
        <x:v>16</x:v>
      </x:c>
      <x:c r="E6" s="21" t="n">
        <x:f>COUNTIFS('Coverage Map'!$A$5:$A$196,A6,'Coverage Map'!$F$5:$F$196,"Partial")</x:f>
        <x:v>5</x:v>
      </x:c>
      <x:c r="F6" s="21" t="n">
        <x:f>COUNTIFS('Coverage Map'!$A$5:$A$196,A6,'Coverage Map'!$F$5:$F$196,"Adjacent level")</x:f>
        <x:v>3</x:v>
      </x:c>
      <x:c r="G6" s="21" t="n">
        <x:f>COUNTIFS('Coverage Map'!$A$5:$A$196,A6,'Coverage Map'!$F$5:$F$196,"Missing")</x:f>
        <x:v>12</x:v>
      </x:c>
      <x:c r="H6" s="22" t="n">
        <x:f>D6/C6</x:f>
        <x:v>0.4444444444444444</x:v>
      </x:c>
      <x:c r="I6" s="22" t="n">
        <x:f>(D6+E6)/C6</x:f>
        <x:v>0.5833333333333334</x:v>
      </x:c>
    </x:row>
    <x:row r="7">
      <x:c r="A7" s="20" t="str">
        <x:v>Pre-Intermediate</x:v>
      </x:c>
      <x:c r="B7" s="20" t="str">
        <x:v>A2-B1</x:v>
      </x:c>
      <x:c r="C7" s="21" t="n">
        <x:f>COUNTIF('Coverage Map'!$A$5:$A$196,A7)</x:f>
        <x:v>36</x:v>
      </x:c>
      <x:c r="D7" s="21" t="n">
        <x:f>COUNTIFS('Coverage Map'!$A$5:$A$196,A7,'Coverage Map'!$F$5:$F$196,"Direct")</x:f>
        <x:v>36</x:v>
      </x:c>
      <x:c r="E7" s="21" t="n">
        <x:f>COUNTIFS('Coverage Map'!$A$5:$A$196,A7,'Coverage Map'!$F$5:$F$196,"Partial")</x:f>
        <x:v>0</x:v>
      </x:c>
      <x:c r="F7" s="21" t="n">
        <x:f>COUNTIFS('Coverage Map'!$A$5:$A$196,A7,'Coverage Map'!$F$5:$F$196,"Adjacent level")</x:f>
        <x:v>0</x:v>
      </x:c>
      <x:c r="G7" s="21" t="n">
        <x:f>COUNTIFS('Coverage Map'!$A$5:$A$196,A7,'Coverage Map'!$F$5:$F$196,"Missing")</x:f>
        <x:v>0</x:v>
      </x:c>
      <x:c r="H7" s="22" t="n">
        <x:f>D7/C7</x:f>
        <x:v>1</x:v>
      </x:c>
      <x:c r="I7" s="22" t="n">
        <x:f>(D7+E7)/C7</x:f>
        <x:v>1</x:v>
      </x:c>
    </x:row>
    <x:row r="8">
      <x:c r="A8" s="20" t="str">
        <x:v>Intermediate</x:v>
      </x:c>
      <x:c r="B8" s="20" t="str">
        <x:v>B1</x:v>
      </x:c>
      <x:c r="C8" s="21" t="n">
        <x:f>COUNTIF('Coverage Map'!$A$5:$A$196,A8)</x:f>
        <x:v>20</x:v>
      </x:c>
      <x:c r="D8" s="21" t="n">
        <x:f>COUNTIFS('Coverage Map'!$A$5:$A$196,A8,'Coverage Map'!$F$5:$F$196,"Direct")</x:f>
        <x:v>20</x:v>
      </x:c>
      <x:c r="E8" s="21" t="n">
        <x:f>COUNTIFS('Coverage Map'!$A$5:$A$196,A8,'Coverage Map'!$F$5:$F$196,"Partial")</x:f>
        <x:v>0</x:v>
      </x:c>
      <x:c r="F8" s="21" t="n">
        <x:f>COUNTIFS('Coverage Map'!$A$5:$A$196,A8,'Coverage Map'!$F$5:$F$196,"Adjacent level")</x:f>
        <x:v>0</x:v>
      </x:c>
      <x:c r="G8" s="21" t="n">
        <x:f>COUNTIFS('Coverage Map'!$A$5:$A$196,A8,'Coverage Map'!$F$5:$F$196,"Missing")</x:f>
        <x:v>0</x:v>
      </x:c>
      <x:c r="H8" s="22" t="n">
        <x:f>D8/C8</x:f>
        <x:v>1</x:v>
      </x:c>
      <x:c r="I8" s="22" t="n">
        <x:f>(D8+E8)/C8</x:f>
        <x:v>1</x:v>
      </x:c>
    </x:row>
    <x:row r="9">
      <x:c r="A9" s="20" t="str">
        <x:v>Intermediate Plus</x:v>
      </x:c>
      <x:c r="B9" s="20" t="str">
        <x:v>B1+</x:v>
      </x:c>
      <x:c r="C9" s="21" t="n">
        <x:f>COUNTIF('Coverage Map'!$A$5:$A$196,A9)</x:f>
        <x:v>20</x:v>
      </x:c>
      <x:c r="D9" s="21" t="n">
        <x:f>COUNTIFS('Coverage Map'!$A$5:$A$196,A9,'Coverage Map'!$F$5:$F$196,"Direct")</x:f>
        <x:v>13</x:v>
      </x:c>
      <x:c r="E9" s="21" t="n">
        <x:f>COUNTIFS('Coverage Map'!$A$5:$A$196,A9,'Coverage Map'!$F$5:$F$196,"Partial")</x:f>
        <x:v>5</x:v>
      </x:c>
      <x:c r="F9" s="21" t="n">
        <x:f>COUNTIFS('Coverage Map'!$A$5:$A$196,A9,'Coverage Map'!$F$5:$F$196,"Adjacent level")</x:f>
        <x:v>1</x:v>
      </x:c>
      <x:c r="G9" s="21" t="n">
        <x:f>COUNTIFS('Coverage Map'!$A$5:$A$196,A9,'Coverage Map'!$F$5:$F$196,"Missing")</x:f>
        <x:v>1</x:v>
      </x:c>
      <x:c r="H9" s="22" t="n">
        <x:f>D9/C9</x:f>
        <x:v>0.65</x:v>
      </x:c>
      <x:c r="I9" s="22" t="n">
        <x:f>(D9+E9)/C9</x:f>
        <x:v>0.9</x:v>
      </x:c>
    </x:row>
    <x:row r="10">
      <x:c r="A10" s="20" t="str">
        <x:v>Upper-Intermediate</x:v>
      </x:c>
      <x:c r="B10" s="20" t="str">
        <x:v>B2</x:v>
      </x:c>
      <x:c r="C10" s="21" t="n">
        <x:f>COUNTIF('Coverage Map'!$A$5:$A$196,A10)</x:f>
        <x:v>20</x:v>
      </x:c>
      <x:c r="D10" s="21" t="n">
        <x:f>COUNTIFS('Coverage Map'!$A$5:$A$196,A10,'Coverage Map'!$F$5:$F$196,"Direct")</x:f>
        <x:v>17</x:v>
      </x:c>
      <x:c r="E10" s="21" t="n">
        <x:f>COUNTIFS('Coverage Map'!$A$5:$A$196,A10,'Coverage Map'!$F$5:$F$196,"Partial")</x:f>
        <x:v>3</x:v>
      </x:c>
      <x:c r="F10" s="21" t="n">
        <x:f>COUNTIFS('Coverage Map'!$A$5:$A$196,A10,'Coverage Map'!$F$5:$F$196,"Adjacent level")</x:f>
        <x:v>0</x:v>
      </x:c>
      <x:c r="G10" s="21" t="n">
        <x:f>COUNTIFS('Coverage Map'!$A$5:$A$196,A10,'Coverage Map'!$F$5:$F$196,"Missing")</x:f>
        <x:v>0</x:v>
      </x:c>
      <x:c r="H10" s="22" t="n">
        <x:f>D10/C10</x:f>
        <x:v>0.85</x:v>
      </x:c>
      <x:c r="I10" s="22" t="n">
        <x:f>(D10+E10)/C10</x:f>
        <x:v>1</x:v>
      </x:c>
    </x:row>
    <x:row r="11">
      <x:c r="A11" s="20" t="str">
        <x:v>Advanced</x:v>
      </x:c>
      <x:c r="B11" s="20" t="str">
        <x:v>C1</x:v>
      </x:c>
      <x:c r="C11" s="21" t="n">
        <x:f>COUNTIF('Coverage Map'!$A$5:$A$196,A11)</x:f>
        <x:v>20</x:v>
      </x:c>
      <x:c r="D11" s="21" t="n">
        <x:f>COUNTIFS('Coverage Map'!$A$5:$A$196,A11,'Coverage Map'!$F$5:$F$196,"Direct")</x:f>
        <x:v>10</x:v>
      </x:c>
      <x:c r="E11" s="21" t="n">
        <x:f>COUNTIFS('Coverage Map'!$A$5:$A$196,A11,'Coverage Map'!$F$5:$F$196,"Partial")</x:f>
        <x:v>1</x:v>
      </x:c>
      <x:c r="F11" s="21" t="n">
        <x:f>COUNTIFS('Coverage Map'!$A$5:$A$196,A11,'Coverage Map'!$F$5:$F$196,"Adjacent level")</x:f>
        <x:v>6</x:v>
      </x:c>
      <x:c r="G11" s="21" t="n">
        <x:f>COUNTIFS('Coverage Map'!$A$5:$A$196,A11,'Coverage Map'!$F$5:$F$196,"Missing")</x:f>
        <x:v>3</x:v>
      </x:c>
      <x:c r="H11" s="22" t="n">
        <x:f>D11/C11</x:f>
        <x:v>0.5</x:v>
      </x:c>
      <x:c r="I11" s="22" t="n">
        <x:f>(D11+E11)/C11</x:f>
        <x:v>0.55</x:v>
      </x:c>
    </x:row>
    <x:row r="12">
      <x:c r="A12" s="20" t="str">
        <x:v>Advanced Plus</x:v>
      </x:c>
      <x:c r="B12" s="20" t="str">
        <x:v>C1+</x:v>
      </x:c>
      <x:c r="C12" s="21" t="n">
        <x:f>COUNTIF('Coverage Map'!$A$5:$A$196,A12)</x:f>
        <x:v>16</x:v>
      </x:c>
      <x:c r="D12" s="21" t="n">
        <x:f>COUNTIFS('Coverage Map'!$A$5:$A$196,A12,'Coverage Map'!$F$5:$F$196,"Direct")</x:f>
        <x:v>0</x:v>
      </x:c>
      <x:c r="E12" s="21" t="n">
        <x:f>COUNTIFS('Coverage Map'!$A$5:$A$196,A12,'Coverage Map'!$F$5:$F$196,"Partial")</x:f>
        <x:v>0</x:v>
      </x:c>
      <x:c r="F12" s="21" t="n">
        <x:f>COUNTIFS('Coverage Map'!$A$5:$A$196,A12,'Coverage Map'!$F$5:$F$196,"Adjacent level")</x:f>
        <x:v>10</x:v>
      </x:c>
      <x:c r="G12" s="21" t="n">
        <x:f>COUNTIFS('Coverage Map'!$A$5:$A$196,A12,'Coverage Map'!$F$5:$F$196,"Missing")</x:f>
        <x:v>6</x:v>
      </x:c>
      <x:c r="H12" s="22" t="n">
        <x:f>D12/C12</x:f>
        <x:v>0</x:v>
      </x:c>
      <x:c r="I12" s="22" t="n">
        <x:f>(D12+E12)/C12</x:f>
        <x:v>0</x:v>
      </x:c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51" t="str">
        <x:v>Repository snapshot</x:v>
      </x:c>
      <x:c r="B15" s="52" t="str">
        <x:v>Value</x:v>
      </x:c>
      <x:c r="C15" s="52" t="str">
        <x:v>Interpretation</x:v>
      </x:c>
      <x:c r="D15" s="52" t="str">
        <x:v>Source</x:v>
      </x:c>
      <x:c r="E15" s="18"/>
      <x:c r="F15" s="18"/>
      <x:c r="G15" s="18"/>
      <x:c r="H15" s="18"/>
      <x:c r="I15" s="18"/>
    </x:row>
    <x:row r="16">
      <x:c r="A16" s="34" t="str">
        <x:v>Distinct mini tests</x:v>
      </x:c>
      <x:c r="B16" s="35" t="n">
        <x:v>85</x:v>
      </x:c>
      <x:c r="C16" s="36" t="str">
        <x:v>Topic-practice activities</x:v>
      </x:c>
      <x:c r="D16" s="37" t="str">
        <x:v>src/data/hubGrammarActivities.js</x:v>
      </x:c>
      <x:c r="E16" s="18"/>
      <x:c r="F16" s="18"/>
      <x:c r="G16" s="18"/>
      <x:c r="H16" s="18"/>
      <x:c r="I16" s="18"/>
    </x:row>
    <x:row r="17">
      <x:c r="A17" s="34" t="str">
        <x:v>Mini-test items</x:v>
      </x:c>
      <x:c r="B17" s="35" t="n">
        <x:v>1814</x:v>
      </x:c>
      <x:c r="C17" s="36" t="str">
        <x:v>Total authored questions/items</x:v>
      </x:c>
      <x:c r="D17" s="37" t="str">
        <x:v>src/data/hubGrammarActivities.js</x:v>
      </x:c>
      <x:c r="E17" s="18"/>
      <x:c r="F17" s="18"/>
      <x:c r="G17" s="18"/>
      <x:c r="H17" s="18"/>
      <x:c r="I17" s="18"/>
    </x:row>
    <x:row r="18">
      <x:c r="A18" s="34" t="str">
        <x:v>A1-tagged mini tests</x:v>
      </x:c>
      <x:c r="B18" s="35" t="n">
        <x:v>0</x:v>
      </x:c>
      <x:c r="C18" s="36" t="str">
        <x:v>Beginner/early Elementary pathway</x:v>
      </x:c>
      <x:c r="D18" s="37" t="str">
        <x:v>src/data/hubGrammarActivities.js</x:v>
      </x:c>
      <x:c r="E18" s="18"/>
      <x:c r="F18" s="18"/>
      <x:c r="G18" s="18"/>
      <x:c r="H18" s="18"/>
      <x:c r="I18" s="18"/>
    </x:row>
    <x:row r="19">
      <x:c r="A19" s="34" t="str">
        <x:v>C2-tagged mini tests</x:v>
      </x:c>
      <x:c r="B19" s="35" t="n">
        <x:v>0</x:v>
      </x:c>
      <x:c r="C19" s="36" t="str">
        <x:v>Advanced Plus pathway</x:v>
      </x:c>
      <x:c r="D19" s="37" t="str">
        <x:v>src/data/hubGrammarActivities.js</x:v>
      </x:c>
      <x:c r="E19" s="18"/>
      <x:c r="F19" s="18"/>
      <x:c r="G19" s="18"/>
      <x:c r="H19" s="18"/>
      <x:c r="I19" s="18"/>
    </x:row>
    <x:row r="20">
      <x:c r="A20" s="34" t="str">
        <x:v>English File course-test templates</x:v>
      </x:c>
      <x:c r="B20" s="35" t="n">
        <x:v>16</x:v>
      </x:c>
      <x:c r="C20" s="36" t="str">
        <x:v>Two per level: progress and end-of-course</x:v>
      </x:c>
      <x:c r="D20" s="37" t="str">
        <x:v>src/data/hubCourseTestTemplates.js</x:v>
      </x:c>
      <x:c r="E20" s="18"/>
      <x:c r="F20" s="18"/>
      <x:c r="G20" s="18"/>
      <x:c r="H20" s="18"/>
      <x:c r="I20" s="18"/>
    </x:row>
    <x:row r="21">
      <x:c r="A21" s="38" t="str">
        <x:v>Other course-test templates</x:v>
      </x:c>
      <x:c r="B21" s="39" t="n">
        <x:v>4</x:v>
      </x:c>
      <x:c r="C21" s="40" t="str">
        <x:v>Insight templates excluded from coverage calculation</x:v>
      </x:c>
      <x:c r="D21" s="41" t="str">
        <x:v>src/data/hubCourseTestTemplates.js</x:v>
      </x:c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51" t="str">
        <x:v>Main finding</x:v>
      </x:c>
      <x:c r="B23" s="52" t="str">
        <x:v>Evidence</x:v>
      </x:c>
      <x:c r="C23" s="52" t="str">
        <x:v>Implication</x:v>
      </x:c>
      <x:c r="D23" s="52" t="str">
        <x:v>Recommended response</x:v>
      </x:c>
      <x:c r="E23" s="18"/>
      <x:c r="F23" s="18"/>
      <x:c r="G23" s="18"/>
      <x:c r="H23" s="18"/>
      <x:c r="I23" s="18"/>
    </x:row>
    <x:row r="24">
      <x:c r="A24" s="34" t="str">
        <x:v>The middle of the series is strong.</x:v>
      </x:c>
      <x:c r="B24" s="36" t="str">
        <x:v>Pre-Intermediate and Intermediate have direct tests for every listed syllabus point; Upper-Intermediate has only three partial sub-gaps.</x:v>
      </x:c>
      <x:c r="C24" s="36" t="str">
        <x:v>Teachers can sequence these levels with relatively little new authoring.</x:v>
      </x:c>
      <x:c r="D24" s="37" t="str">
        <x:v>Protect this mapping with explicit ef4Level/file/lesson metadata.</x:v>
      </x:c>
      <x:c r="E24" s="18"/>
      <x:c r="F24" s="18"/>
      <x:c r="G24" s="18"/>
      <x:c r="H24" s="18"/>
      <x:c r="I24" s="18"/>
    </x:row>
    <x:row r="25">
      <x:c r="A25" s="34" t="str">
        <x:v>The bottom of the series is not represented as a pathway.</x:v>
      </x:c>
      <x:c r="B25" s="36" t="str">
        <x:v>There are zero A1-tagged mini tests; Beginner has no direct coverage and Elementary lacks many foundation points.</x:v>
      </x:c>
      <x:c r="C25" s="36" t="str">
        <x:v>A2/B1 tests are too broad or difficult for early learners.</x:v>
      </x:c>
      <x:c r="D25" s="37" t="str">
        <x:v>Build Beginner and Elementary foundation banks first.</x:v>
      </x:c>
      <x:c r="E25" s="18"/>
      <x:c r="F25" s="18"/>
      <x:c r="G25" s="18"/>
      <x:c r="H25" s="18"/>
      <x:c r="I25" s="18"/>
    </x:row>
    <x:row r="26">
      <x:c r="A26" s="34" t="str">
        <x:v>Advanced stops halfway through the book.</x:v>
      </x:c>
      <x:c r="B26" s="36" t="str">
        <x:v>The 10 C1 tests map cleanly to Advanced Files 1-5; Files 6-10 have no direct C1 bank.</x:v>
      </x:c>
      <x:c r="C26" s="36" t="str">
        <x:v>The current C1 filter suggests broader coverage than learners actually receive.</x:v>
      </x:c>
      <x:c r="D26" s="37" t="str">
        <x:v>Complete Advanced Files 6-10.</x:v>
      </x:c>
      <x:c r="E26" s="18"/>
      <x:c r="F26" s="18"/>
      <x:c r="G26" s="18"/>
      <x:c r="H26" s="18"/>
      <x:c r="I26" s="18"/>
    </x:row>
    <x:row r="27">
      <x:c r="A27" s="34" t="str">
        <x:v>Advanced Plus has no direct mini-test layer.</x:v>
      </x:c>
      <x:c r="B27" s="36" t="str">
        <x:v>Every C1+ grammar point is either missing or represented only by a lower-level analogue; there are zero C2-tagged tests.</x:v>
      </x:c>
      <x:c r="C27" s="36" t="str">
        <x:v>The course tests exist, but topic practice and remediation do not.</x:v>
      </x:c>
      <x:c r="D27" s="37" t="str">
        <x:v>Author a dedicated C1+/C2-tagged bank for all 16 lessons.</x:v>
      </x:c>
      <x:c r="E27" s="18"/>
      <x:c r="F27" s="18"/>
      <x:c r="G27" s="18"/>
      <x:c r="H27" s="18"/>
      <x:c r="I27" s="18"/>
    </x:row>
    <x:row r="28">
      <x:c r="A28" s="38" t="str">
        <x:v>Broad CEFR tags conceal textbook sequencing.</x:v>
      </x:c>
      <x:c r="B28" s="40" t="str">
        <x:v>Activities store only levels such as A2/B1/B2/C1; no English File unit metadata exists.</x:v>
      </x:c>
      <x:c r="C28" s="40" t="str">
        <x:v>Search and assignment cannot reliably follow the coursebook.</x:v>
      </x:c>
      <x:c r="D28" s="41" t="str">
        <x:v>Add explicit English File metadata and course-level filters.</x:v>
      </x:c>
      <x:c r="E28" s="18"/>
      <x:c r="F28" s="18"/>
      <x:c r="G28" s="18"/>
      <x:c r="H28" s="18"/>
      <x:c r="I28" s="18"/>
    </x:row>
  </x:sheetData>
  <x:conditionalFormatting sqref="H5:H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eb820995a64e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1" hidden="0" customWidth="1"/>
    <x:col min="2" max="2" width="9" hidden="0" customWidth="1"/>
    <x:col min="3" max="3" width="7" hidden="0" customWidth="1"/>
    <x:col min="4" max="4" width="8" hidden="0" customWidth="1"/>
    <x:col min="5" max="5" width="43" hidden="0" customWidth="1"/>
    <x:col min="6" max="6" width="18" hidden="0" customWidth="1"/>
    <x:col min="7" max="7" width="46" hidden="0" customWidth="1"/>
    <x:col min="8" max="8" width="18" hidden="0" customWidth="1"/>
    <x:col min="9" max="9" width="52" hidden="0" customWidth="1"/>
    <x:col min="10" max="10" width="11" hidden="0" customWidth="1"/>
    <x:col min="11" max="11" width="48" hidden="0" customWidth="1"/>
  </x:cols>
  <x:sheetData>
    <x:row r="1" ht="23" customHeight="1">
      <x:c r="A1" s="2" t="str">
        <x:v>English File 4th Edition grammar coverage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 ht="23" customHeight="1">
      <x:c r="A2" s="3" t="str">
        <x:v>Mini Grammar Tests only. Course progress/end-of-course tests are inventoried separately and do not count as topic-practice coverage.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34" customHeight="1">
      <x:c r="A4" s="15" t="str">
        <x:v>English File level</x:v>
      </x:c>
      <x:c r="B4" s="16" t="str">
        <x:v>CEFR</x:v>
      </x:c>
      <x:c r="C4" s="16" t="str">
        <x:v>File</x:v>
      </x:c>
      <x:c r="D4" s="16" t="str">
        <x:v>Lesson</x:v>
      </x:c>
      <x:c r="E4" s="16" t="str">
        <x:v>Textbook grammar point</x:v>
      </x:c>
      <x:c r="F4" s="16" t="str">
        <x:v>Coverage status</x:v>
      </x:c>
      <x:c r="G4" s="16" t="str">
        <x:v>Matched mini tests</x:v>
      </x:c>
      <x:c r="H4" s="16" t="str">
        <x:v>Matched test levels</x:v>
      </x:c>
      <x:c r="I4" s="16" t="str">
        <x:v>Audit note</x:v>
      </x:c>
      <x:c r="J4" s="16" t="str">
        <x:v>Priority</x:v>
      </x:c>
      <x:c r="K4" s="17" t="str">
        <x:v>Syllabus source</x:v>
      </x:c>
    </x:row>
    <x:row r="5">
      <x:c r="A5" s="20" t="str">
        <x:v>Beginner</x:v>
      </x:c>
      <x:c r="B5" s="20" t="str">
        <x:v>A1</x:v>
      </x:c>
      <x:c r="C5" s="20" t="n">
        <x:v>1</x:v>
      </x:c>
      <x:c r="D5" s="20" t="str">
        <x:v>1A</x:v>
      </x:c>
      <x:c r="E5" s="20" t="str">
        <x:v>verb be (singular): I and you</x:v>
      </x:c>
      <x:c r="F5" s="20" t="str">
        <x:v>Missing</x:v>
      </x:c>
      <x:c r="G5" s="20" t="str"/>
      <x:c r="H5" s="20" t="str"/>
      <x:c r="I5" s="20" t="str">
        <x:v>No A1-tagged mini tests exist.</x:v>
      </x:c>
      <x:c r="J5" s="20" t="str">
        <x:v>High</x:v>
      </x:c>
      <x:c r="K5" s="53" t="str">
        <x:v>https://assets4.theenglishfarm.com/cdn/ff/tbgFQFx6lVaBpvJALUEnfBhNK7JUgMEn6JDijps4Mv0/1727027356/public/english_file_beginner_sample_pages.pdf</x:v>
      </x:c>
    </x:row>
    <x:row r="6">
      <x:c r="A6" s="20" t="str">
        <x:v>Beginner</x:v>
      </x:c>
      <x:c r="B6" s="20" t="str">
        <x:v>A1</x:v>
      </x:c>
      <x:c r="C6" s="20" t="n">
        <x:v>1</x:v>
      </x:c>
      <x:c r="D6" s="20" t="str">
        <x:v>1B</x:v>
      </x:c>
      <x:c r="E6" s="20" t="str">
        <x:v>verb be (singular): he, she, it</x:v>
      </x:c>
      <x:c r="F6" s="20" t="str">
        <x:v>Missing</x:v>
      </x:c>
      <x:c r="G6" s="20" t="str"/>
      <x:c r="H6" s="20" t="str"/>
      <x:c r="I6" s="20" t="str">
        <x:v>No A1-tagged mini tests exist.</x:v>
      </x:c>
      <x:c r="J6" s="20" t="str">
        <x:v>High</x:v>
      </x:c>
      <x:c r="K6" s="53" t="str">
        <x:v>https://assets4.theenglishfarm.com/cdn/ff/tbgFQFx6lVaBpvJALUEnfBhNK7JUgMEn6JDijps4Mv0/1727027356/public/english_file_beginner_sample_pages.pdf</x:v>
      </x:c>
    </x:row>
    <x:row r="7">
      <x:c r="A7" s="20" t="str">
        <x:v>Beginner</x:v>
      </x:c>
      <x:c r="B7" s="20" t="str">
        <x:v>A1</x:v>
      </x:c>
      <x:c r="C7" s="20" t="n">
        <x:v>2</x:v>
      </x:c>
      <x:c r="D7" s="20" t="str">
        <x:v>2A</x:v>
      </x:c>
      <x:c r="E7" s="20" t="str">
        <x:v>verb be (plural): we, you, they</x:v>
      </x:c>
      <x:c r="F7" s="20" t="str">
        <x:v>Missing</x:v>
      </x:c>
      <x:c r="G7" s="20" t="str"/>
      <x:c r="H7" s="20" t="str"/>
      <x:c r="I7" s="20" t="str">
        <x:v>No A1-tagged mini tests exist.</x:v>
      </x:c>
      <x:c r="J7" s="20" t="str">
        <x:v>High</x:v>
      </x:c>
      <x:c r="K7" s="53" t="str">
        <x:v>https://assets4.theenglishfarm.com/cdn/ff/tbgFQFx6lVaBpvJALUEnfBhNK7JUgMEn6JDijps4Mv0/1727027356/public/english_file_beginner_sample_pages.pdf</x:v>
      </x:c>
    </x:row>
    <x:row r="8">
      <x:c r="A8" s="20" t="str">
        <x:v>Beginner</x:v>
      </x:c>
      <x:c r="B8" s="20" t="str">
        <x:v>A1</x:v>
      </x:c>
      <x:c r="C8" s="20" t="n">
        <x:v>2</x:v>
      </x:c>
      <x:c r="D8" s="20" t="str">
        <x:v>2B</x:v>
      </x:c>
      <x:c r="E8" s="20" t="str">
        <x:v>Wh- and How questions with be</x:v>
      </x:c>
      <x:c r="F8" s="20" t="str">
        <x:v>Adjacent level</x:v>
      </x:c>
      <x:c r="G8" s="20" t="str">
        <x:v>Question Formation Mastery</x:v>
      </x:c>
      <x:c r="H8" s="20" t="str">
        <x:v>a2, b1</x:v>
      </x:c>
      <x:c r="I8" s="20" t="str">
        <x:v>Question formation exists only in the A2/B1 bank.</x:v>
      </x:c>
      <x:c r="J8" s="20" t="str">
        <x:v>Medium</x:v>
      </x:c>
      <x:c r="K8" s="53" t="str">
        <x:v>https://assets4.theenglishfarm.com/cdn/ff/tbgFQFx6lVaBpvJALUEnfBhNK7JUgMEn6JDijps4Mv0/1727027356/public/english_file_beginner_sample_pages.pdf</x:v>
      </x:c>
    </x:row>
    <x:row r="9">
      <x:c r="A9" s="20" t="str">
        <x:v>Beginner</x:v>
      </x:c>
      <x:c r="B9" s="20" t="str">
        <x:v>A1</x:v>
      </x:c>
      <x:c r="C9" s="20" t="n">
        <x:v>3</x:v>
      </x:c>
      <x:c r="D9" s="20" t="str">
        <x:v>3A</x:v>
      </x:c>
      <x:c r="E9" s="20" t="str">
        <x:v>singular and plural nouns; a / an</x:v>
      </x:c>
      <x:c r="F9" s="20" t="str">
        <x:v>Missing</x:v>
      </x:c>
      <x:c r="G9" s="20" t="str"/>
      <x:c r="H9" s="20" t="str"/>
      <x:c r="I9" s="20" t="str"/>
      <x:c r="J9" s="20" t="str">
        <x:v>High</x:v>
      </x:c>
      <x:c r="K9" s="53" t="str">
        <x:v>https://assets4.theenglishfarm.com/cdn/ff/tbgFQFx6lVaBpvJALUEnfBhNK7JUgMEn6JDijps4Mv0/1727027356/public/english_file_beginner_sample_pages.pdf</x:v>
      </x:c>
    </x:row>
    <x:row r="10">
      <x:c r="A10" s="20" t="str">
        <x:v>Beginner</x:v>
      </x:c>
      <x:c r="B10" s="20" t="str">
        <x:v>A1</x:v>
      </x:c>
      <x:c r="C10" s="20" t="n">
        <x:v>3</x:v>
      </x:c>
      <x:c r="D10" s="20" t="str">
        <x:v>3B</x:v>
      </x:c>
      <x:c r="E10" s="20" t="str">
        <x:v>this / that / these / those</x:v>
      </x:c>
      <x:c r="F10" s="20" t="str">
        <x:v>Missing</x:v>
      </x:c>
      <x:c r="G10" s="20" t="str"/>
      <x:c r="H10" s="20" t="str"/>
      <x:c r="I10" s="20" t="str"/>
      <x:c r="J10" s="20" t="str">
        <x:v>High</x:v>
      </x:c>
      <x:c r="K10" s="53" t="str">
        <x:v>https://assets4.theenglishfarm.com/cdn/ff/tbgFQFx6lVaBpvJALUEnfBhNK7JUgMEn6JDijps4Mv0/1727027356/public/english_file_beginner_sample_pages.pdf</x:v>
      </x:c>
    </x:row>
    <x:row r="11">
      <x:c r="A11" s="20" t="str">
        <x:v>Beginner</x:v>
      </x:c>
      <x:c r="B11" s="20" t="str">
        <x:v>A1</x:v>
      </x:c>
      <x:c r="C11" s="20" t="n">
        <x:v>4</x:v>
      </x:c>
      <x:c r="D11" s="20" t="str">
        <x:v>4A</x:v>
      </x:c>
      <x:c r="E11" s="20" t="str">
        <x:v>possessive adjectives; possessive 's</x:v>
      </x:c>
      <x:c r="F11" s="20" t="str">
        <x:v>Adjacent level</x:v>
      </x:c>
      <x:c r="G11" s="20" t="str">
        <x:v>Possessive Pronouns and Adjectives</x:v>
      </x:c>
      <x:c r="H11" s="20" t="str">
        <x:v>a2, b1</x:v>
      </x:c>
      <x:c r="I11" s="20" t="str">
        <x:v>The existing A2/B1 test covers possessive adjectives and pronouns, but not an A1 progression.</x:v>
      </x:c>
      <x:c r="J11" s="20" t="str">
        <x:v>Medium</x:v>
      </x:c>
      <x:c r="K11" s="53" t="str">
        <x:v>https://assets4.theenglishfarm.com/cdn/ff/tbgFQFx6lVaBpvJALUEnfBhNK7JUgMEn6JDijps4Mv0/1727027356/public/english_file_beginner_sample_pages.pdf</x:v>
      </x:c>
    </x:row>
    <x:row r="12">
      <x:c r="A12" s="20" t="str">
        <x:v>Beginner</x:v>
      </x:c>
      <x:c r="B12" s="20" t="str">
        <x:v>A1</x:v>
      </x:c>
      <x:c r="C12" s="20" t="n">
        <x:v>4</x:v>
      </x:c>
      <x:c r="D12" s="20" t="str">
        <x:v>4B</x:v>
      </x:c>
      <x:c r="E12" s="20" t="str">
        <x:v>adjectives</x:v>
      </x:c>
      <x:c r="F12" s="20" t="str">
        <x:v>Missing</x:v>
      </x:c>
      <x:c r="G12" s="20" t="str"/>
      <x:c r="H12" s="20" t="str"/>
      <x:c r="I12" s="20" t="str"/>
      <x:c r="J12" s="20" t="str">
        <x:v>High</x:v>
      </x:c>
      <x:c r="K12" s="53" t="str">
        <x:v>https://assets4.theenglishfarm.com/cdn/ff/tbgFQFx6lVaBpvJALUEnfBhNK7JUgMEn6JDijps4Mv0/1727027356/public/english_file_beginner_sample_pages.pdf</x:v>
      </x:c>
    </x:row>
    <x:row r="13">
      <x:c r="A13" s="20" t="str">
        <x:v>Beginner</x:v>
      </x:c>
      <x:c r="B13" s="20" t="str">
        <x:v>A1</x:v>
      </x:c>
      <x:c r="C13" s="20" t="n">
        <x:v>5</x:v>
      </x:c>
      <x:c r="D13" s="20" t="str">
        <x:v>5A</x:v>
      </x:c>
      <x:c r="E13" s="20" t="str">
        <x:v>present simple affirmative and negative: I / you / we / they</x:v>
      </x:c>
      <x:c r="F13" s="20" t="str">
        <x:v>Adjacent level</x:v>
      </x:c>
      <x:c r="G13" s="20" t="str">
        <x:v>Present Simple &amp; Frequency</x:v>
      </x:c>
      <x:c r="H13" s="20" t="str">
        <x:v>a2, b1</x:v>
      </x:c>
      <x:c r="I13" s="20" t="str">
        <x:v>The available test assumes A2/B1 range and mixes frequency adverbs.</x:v>
      </x:c>
      <x:c r="J13" s="20" t="str">
        <x:v>Medium</x:v>
      </x:c>
      <x:c r="K13" s="53" t="str">
        <x:v>https://assets4.theenglishfarm.com/cdn/ff/tbgFQFx6lVaBpvJALUEnfBhNK7JUgMEn6JDijps4Mv0/1727027356/public/english_file_beginner_sample_pages.pdf</x:v>
      </x:c>
    </x:row>
    <x:row r="14">
      <x:c r="A14" s="20" t="str">
        <x:v>Beginner</x:v>
      </x:c>
      <x:c r="B14" s="20" t="str">
        <x:v>A1</x:v>
      </x:c>
      <x:c r="C14" s="20" t="n">
        <x:v>5</x:v>
      </x:c>
      <x:c r="D14" s="20" t="str">
        <x:v>5B</x:v>
      </x:c>
      <x:c r="E14" s="20" t="str">
        <x:v>present simple questions: I / you / we / they</x:v>
      </x:c>
      <x:c r="F14" s="20" t="str">
        <x:v>Adjacent level</x:v>
      </x:c>
      <x:c r="G14" s="20" t="str">
        <x:v>Question Formation Mastery | Present Simple &amp; Frequency</x:v>
      </x:c>
      <x:c r="H14" s="20" t="str">
        <x:v>a2, b1</x:v>
      </x:c>
      <x:c r="I14" s="20" t="str"/>
      <x:c r="J14" s="20" t="str">
        <x:v>Medium</x:v>
      </x:c>
      <x:c r="K14" s="53" t="str">
        <x:v>https://assets4.theenglishfarm.com/cdn/ff/tbgFQFx6lVaBpvJALUEnfBhNK7JUgMEn6JDijps4Mv0/1727027356/public/english_file_beginner_sample_pages.pdf</x:v>
      </x:c>
    </x:row>
    <x:row r="15">
      <x:c r="A15" s="20" t="str">
        <x:v>Beginner</x:v>
      </x:c>
      <x:c r="B15" s="20" t="str">
        <x:v>A1</x:v>
      </x:c>
      <x:c r="C15" s="20" t="n">
        <x:v>6</x:v>
      </x:c>
      <x:c r="D15" s="20" t="str">
        <x:v>6A</x:v>
      </x:c>
      <x:c r="E15" s="20" t="str">
        <x:v>present simple: he / she / it</x:v>
      </x:c>
      <x:c r="F15" s="20" t="str">
        <x:v>Adjacent level</x:v>
      </x:c>
      <x:c r="G15" s="20" t="str">
        <x:v>Present Simple &amp; Frequency</x:v>
      </x:c>
      <x:c r="H15" s="20" t="str">
        <x:v>a2, b1</x:v>
      </x:c>
      <x:c r="I15" s="20" t="str"/>
      <x:c r="J15" s="20" t="str">
        <x:v>Medium</x:v>
      </x:c>
      <x:c r="K15" s="53" t="str">
        <x:v>https://assets4.theenglishfarm.com/cdn/ff/tbgFQFx6lVaBpvJALUEnfBhNK7JUgMEn6JDijps4Mv0/1727027356/public/english_file_beginner_sample_pages.pdf</x:v>
      </x:c>
    </x:row>
    <x:row r="16">
      <x:c r="A16" s="20" t="str">
        <x:v>Beginner</x:v>
      </x:c>
      <x:c r="B16" s="20" t="str">
        <x:v>A1</x:v>
      </x:c>
      <x:c r="C16" s="20" t="n">
        <x:v>6</x:v>
      </x:c>
      <x:c r="D16" s="20" t="str">
        <x:v>6B</x:v>
      </x:c>
      <x:c r="E16" s="20" t="str">
        <x:v>adverbs of frequency</x:v>
      </x:c>
      <x:c r="F16" s="20" t="str">
        <x:v>Adjacent level</x:v>
      </x:c>
      <x:c r="G16" s="20" t="str">
        <x:v>Present Simple &amp; Frequency</x:v>
      </x:c>
      <x:c r="H16" s="20" t="str">
        <x:v>a2, b1</x:v>
      </x:c>
      <x:c r="I16" s="20" t="str"/>
      <x:c r="J16" s="20" t="str">
        <x:v>Medium</x:v>
      </x:c>
      <x:c r="K16" s="53" t="str">
        <x:v>https://assets4.theenglishfarm.com/cdn/ff/tbgFQFx6lVaBpvJALUEnfBhNK7JUgMEn6JDijps4Mv0/1727027356/public/english_file_beginner_sample_pages.pdf</x:v>
      </x:c>
    </x:row>
    <x:row r="17">
      <x:c r="A17" s="20" t="str">
        <x:v>Beginner</x:v>
      </x:c>
      <x:c r="B17" s="20" t="str">
        <x:v>A1</x:v>
      </x:c>
      <x:c r="C17" s="20" t="n">
        <x:v>7</x:v>
      </x:c>
      <x:c r="D17" s="20" t="str">
        <x:v>7A</x:v>
      </x:c>
      <x:c r="E17" s="20" t="str">
        <x:v>word order in questions: be and present simple</x:v>
      </x:c>
      <x:c r="F17" s="20" t="str">
        <x:v>Adjacent level</x:v>
      </x:c>
      <x:c r="G17" s="20" t="str">
        <x:v>Question Formation Mastery</x:v>
      </x:c>
      <x:c r="H17" s="20" t="str">
        <x:v>a2, b1</x:v>
      </x:c>
      <x:c r="I17" s="20" t="str"/>
      <x:c r="J17" s="20" t="str">
        <x:v>Medium</x:v>
      </x:c>
      <x:c r="K17" s="53" t="str">
        <x:v>https://assets4.theenglishfarm.com/cdn/ff/tbgFQFx6lVaBpvJALUEnfBhNK7JUgMEn6JDijps4Mv0/1727027356/public/english_file_beginner_sample_pages.pdf</x:v>
      </x:c>
    </x:row>
    <x:row r="18">
      <x:c r="A18" s="20" t="str">
        <x:v>Beginner</x:v>
      </x:c>
      <x:c r="B18" s="20" t="str">
        <x:v>A1</x:v>
      </x:c>
      <x:c r="C18" s="20" t="n">
        <x:v>7</x:v>
      </x:c>
      <x:c r="D18" s="20" t="str">
        <x:v>7B</x:v>
      </x:c>
      <x:c r="E18" s="20" t="str">
        <x:v>imperatives; object pronouns</x:v>
      </x:c>
      <x:c r="F18" s="20" t="str">
        <x:v>Missing</x:v>
      </x:c>
      <x:c r="G18" s="20" t="str"/>
      <x:c r="H18" s="20" t="str"/>
      <x:c r="I18" s="20" t="str"/>
      <x:c r="J18" s="20" t="str">
        <x:v>High</x:v>
      </x:c>
      <x:c r="K18" s="53" t="str">
        <x:v>https://assets4.theenglishfarm.com/cdn/ff/tbgFQFx6lVaBpvJALUEnfBhNK7JUgMEn6JDijps4Mv0/1727027356/public/english_file_beginner_sample_pages.pdf</x:v>
      </x:c>
    </x:row>
    <x:row r="19">
      <x:c r="A19" s="20" t="str">
        <x:v>Beginner</x:v>
      </x:c>
      <x:c r="B19" s="20" t="str">
        <x:v>A1</x:v>
      </x:c>
      <x:c r="C19" s="20" t="n">
        <x:v>8</x:v>
      </x:c>
      <x:c r="D19" s="20" t="str">
        <x:v>8A</x:v>
      </x:c>
      <x:c r="E19" s="20" t="str">
        <x:v>can / can't</x:v>
      </x:c>
      <x:c r="F19" s="20" t="str">
        <x:v>Adjacent level</x:v>
      </x:c>
      <x:c r="G19" s="20" t="str">
        <x:v>Ability: Can, Could, or Be Able To?</x:v>
      </x:c>
      <x:c r="H19" s="20" t="str">
        <x:v>b1</x:v>
      </x:c>
      <x:c r="I19" s="20" t="str">
        <x:v>Current ability test is B1 and includes could / be able to.</x:v>
      </x:c>
      <x:c r="J19" s="20" t="str">
        <x:v>Medium</x:v>
      </x:c>
      <x:c r="K19" s="53" t="str">
        <x:v>https://assets4.theenglishfarm.com/cdn/ff/tbgFQFx6lVaBpvJALUEnfBhNK7JUgMEn6JDijps4Mv0/1727027356/public/english_file_beginner_sample_pages.pdf</x:v>
      </x:c>
    </x:row>
    <x:row r="20">
      <x:c r="A20" s="20" t="str">
        <x:v>Beginner</x:v>
      </x:c>
      <x:c r="B20" s="20" t="str">
        <x:v>A1</x:v>
      </x:c>
      <x:c r="C20" s="20" t="n">
        <x:v>8</x:v>
      </x:c>
      <x:c r="D20" s="20" t="str">
        <x:v>8B</x:v>
      </x:c>
      <x:c r="E20" s="20" t="str">
        <x:v>like / love / hate + verb-ing</x:v>
      </x:c>
      <x:c r="F20" s="20" t="str">
        <x:v>Adjacent level</x:v>
      </x:c>
      <x:c r="G20" s="20" t="str">
        <x:v>Gerunds and Infinitives Review</x:v>
      </x:c>
      <x:c r="H20" s="20" t="str">
        <x:v>a2, b1</x:v>
      </x:c>
      <x:c r="I20" s="20" t="str">
        <x:v>A broader A2/B1 gerund-and-infinitive review exists.</x:v>
      </x:c>
      <x:c r="J20" s="20" t="str">
        <x:v>Medium</x:v>
      </x:c>
      <x:c r="K20" s="53" t="str">
        <x:v>https://assets4.theenglishfarm.com/cdn/ff/tbgFQFx6lVaBpvJALUEnfBhNK7JUgMEn6JDijps4Mv0/1727027356/public/english_file_beginner_sample_pages.pdf</x:v>
      </x:c>
    </x:row>
    <x:row r="21">
      <x:c r="A21" s="20" t="str">
        <x:v>Beginner</x:v>
      </x:c>
      <x:c r="B21" s="20" t="str">
        <x:v>A1</x:v>
      </x:c>
      <x:c r="C21" s="20" t="n">
        <x:v>9</x:v>
      </x:c>
      <x:c r="D21" s="20" t="str">
        <x:v>9A</x:v>
      </x:c>
      <x:c r="E21" s="20" t="str">
        <x:v>present continuous</x:v>
      </x:c>
      <x:c r="F21" s="20" t="str">
        <x:v>Adjacent level</x:v>
      </x:c>
      <x:c r="G21" s="20" t="str">
        <x:v>Present Simple or Continuous?</x:v>
      </x:c>
      <x:c r="H21" s="20" t="str">
        <x:v>a2, b1</x:v>
      </x:c>
      <x:c r="I21" s="20" t="str"/>
      <x:c r="J21" s="20" t="str">
        <x:v>Medium</x:v>
      </x:c>
      <x:c r="K21" s="53" t="str">
        <x:v>https://assets4.theenglishfarm.com/cdn/ff/tbgFQFx6lVaBpvJALUEnfBhNK7JUgMEn6JDijps4Mv0/1727027356/public/english_file_beginner_sample_pages.pdf</x:v>
      </x:c>
    </x:row>
    <x:row r="22">
      <x:c r="A22" s="20" t="str">
        <x:v>Beginner</x:v>
      </x:c>
      <x:c r="B22" s="20" t="str">
        <x:v>A1</x:v>
      </x:c>
      <x:c r="C22" s="20" t="n">
        <x:v>9</x:v>
      </x:c>
      <x:c r="D22" s="20" t="str">
        <x:v>9B</x:v>
      </x:c>
      <x:c r="E22" s="20" t="str">
        <x:v>present continuous or present simple</x:v>
      </x:c>
      <x:c r="F22" s="20" t="str">
        <x:v>Adjacent level</x:v>
      </x:c>
      <x:c r="G22" s="20" t="str">
        <x:v>Present Simple or Continuous?</x:v>
      </x:c>
      <x:c r="H22" s="20" t="str">
        <x:v>a2, b1</x:v>
      </x:c>
      <x:c r="I22" s="20" t="str"/>
      <x:c r="J22" s="20" t="str">
        <x:v>Medium</x:v>
      </x:c>
      <x:c r="K22" s="53" t="str">
        <x:v>https://assets4.theenglishfarm.com/cdn/ff/tbgFQFx6lVaBpvJALUEnfBhNK7JUgMEn6JDijps4Mv0/1727027356/public/english_file_beginner_sample_pages.pdf</x:v>
      </x:c>
    </x:row>
    <x:row r="23">
      <x:c r="A23" s="20" t="str">
        <x:v>Beginner</x:v>
      </x:c>
      <x:c r="B23" s="20" t="str">
        <x:v>A1</x:v>
      </x:c>
      <x:c r="C23" s="20" t="n">
        <x:v>10</x:v>
      </x:c>
      <x:c r="D23" s="20" t="str">
        <x:v>10A</x:v>
      </x:c>
      <x:c r="E23" s="20" t="str">
        <x:v>there's a... / there are some...</x:v>
      </x:c>
      <x:c r="F23" s="20" t="str">
        <x:v>Missing</x:v>
      </x:c>
      <x:c r="G23" s="20" t="str"/>
      <x:c r="H23" s="20" t="str"/>
      <x:c r="I23" s="20" t="str"/>
      <x:c r="J23" s="20" t="str">
        <x:v>High</x:v>
      </x:c>
      <x:c r="K23" s="53" t="str">
        <x:v>https://assets4.theenglishfarm.com/cdn/ff/tbgFQFx6lVaBpvJALUEnfBhNK7JUgMEn6JDijps4Mv0/1727027356/public/english_file_beginner_sample_pages.pdf</x:v>
      </x:c>
    </x:row>
    <x:row r="24">
      <x:c r="A24" s="20" t="str">
        <x:v>Beginner</x:v>
      </x:c>
      <x:c r="B24" s="20" t="str">
        <x:v>A1</x:v>
      </x:c>
      <x:c r="C24" s="20" t="n">
        <x:v>10</x:v>
      </x:c>
      <x:c r="D24" s="20" t="str">
        <x:v>10B</x:v>
      </x:c>
      <x:c r="E24" s="20" t="str">
        <x:v>past simple: be</x:v>
      </x:c>
      <x:c r="F24" s="20" t="str">
        <x:v>Adjacent level</x:v>
      </x:c>
      <x:c r="G24" s="20" t="str">
        <x:v>Past Simple: Regular &amp; Irregular</x:v>
      </x:c>
      <x:c r="H24" s="20" t="str">
        <x:v>a2, b1</x:v>
      </x:c>
      <x:c r="I24" s="20" t="str">
        <x:v>Past-simple test is A2/B1 and not a focused was/were test.</x:v>
      </x:c>
      <x:c r="J24" s="20" t="str">
        <x:v>Medium</x:v>
      </x:c>
      <x:c r="K24" s="53" t="str">
        <x:v>https://assets4.theenglishfarm.com/cdn/ff/tbgFQFx6lVaBpvJALUEnfBhNK7JUgMEn6JDijps4Mv0/1727027356/public/english_file_beginner_sample_pages.pdf</x:v>
      </x:c>
    </x:row>
    <x:row r="25">
      <x:c r="A25" s="20" t="str">
        <x:v>Beginner</x:v>
      </x:c>
      <x:c r="B25" s="20" t="str">
        <x:v>A1</x:v>
      </x:c>
      <x:c r="C25" s="20" t="n">
        <x:v>11</x:v>
      </x:c>
      <x:c r="D25" s="20" t="str">
        <x:v>11A</x:v>
      </x:c>
      <x:c r="E25" s="20" t="str">
        <x:v>past simple: regular verbs</x:v>
      </x:c>
      <x:c r="F25" s="20" t="str">
        <x:v>Adjacent level</x:v>
      </x:c>
      <x:c r="G25" s="20" t="str">
        <x:v>Past Simple: Regular &amp; Irregular</x:v>
      </x:c>
      <x:c r="H25" s="20" t="str">
        <x:v>a2, b1</x:v>
      </x:c>
      <x:c r="I25" s="20" t="str"/>
      <x:c r="J25" s="20" t="str">
        <x:v>Medium</x:v>
      </x:c>
      <x:c r="K25" s="53" t="str">
        <x:v>https://assets4.theenglishfarm.com/cdn/ff/tbgFQFx6lVaBpvJALUEnfBhNK7JUgMEn6JDijps4Mv0/1727027356/public/english_file_beginner_sample_pages.pdf</x:v>
      </x:c>
    </x:row>
    <x:row r="26">
      <x:c r="A26" s="20" t="str">
        <x:v>Beginner</x:v>
      </x:c>
      <x:c r="B26" s="20" t="str">
        <x:v>A1</x:v>
      </x:c>
      <x:c r="C26" s="20" t="n">
        <x:v>11</x:v>
      </x:c>
      <x:c r="D26" s="20" t="str">
        <x:v>11B</x:v>
      </x:c>
      <x:c r="E26" s="20" t="str">
        <x:v>past simple irregular verbs: get, go, have, do</x:v>
      </x:c>
      <x:c r="F26" s="20" t="str">
        <x:v>Adjacent level</x:v>
      </x:c>
      <x:c r="G26" s="20" t="str">
        <x:v>Past Simple: Regular &amp; Irregular</x:v>
      </x:c>
      <x:c r="H26" s="20" t="str">
        <x:v>a2, b1</x:v>
      </x:c>
      <x:c r="I26" s="20" t="str"/>
      <x:c r="J26" s="20" t="str">
        <x:v>Medium</x:v>
      </x:c>
      <x:c r="K26" s="53" t="str">
        <x:v>https://assets4.theenglishfarm.com/cdn/ff/tbgFQFx6lVaBpvJALUEnfBhNK7JUgMEn6JDijps4Mv0/1727027356/public/english_file_beginner_sample_pages.pdf</x:v>
      </x:c>
    </x:row>
    <x:row r="27">
      <x:c r="A27" s="20" t="str">
        <x:v>Beginner</x:v>
      </x:c>
      <x:c r="B27" s="20" t="str">
        <x:v>A1</x:v>
      </x:c>
      <x:c r="C27" s="20" t="n">
        <x:v>12</x:v>
      </x:c>
      <x:c r="D27" s="20" t="str">
        <x:v>12A</x:v>
      </x:c>
      <x:c r="E27" s="20" t="str">
        <x:v>past simple: regular and irregular verbs</x:v>
      </x:c>
      <x:c r="F27" s="20" t="str">
        <x:v>Adjacent level</x:v>
      </x:c>
      <x:c r="G27" s="20" t="str">
        <x:v>Past Simple: Regular &amp; Irregular</x:v>
      </x:c>
      <x:c r="H27" s="20" t="str">
        <x:v>a2, b1</x:v>
      </x:c>
      <x:c r="I27" s="20" t="str"/>
      <x:c r="J27" s="20" t="str">
        <x:v>Medium</x:v>
      </x:c>
      <x:c r="K27" s="53" t="str">
        <x:v>https://assets4.theenglishfarm.com/cdn/ff/tbgFQFx6lVaBpvJALUEnfBhNK7JUgMEn6JDijps4Mv0/1727027356/public/english_file_beginner_sample_pages.pdf</x:v>
      </x:c>
    </x:row>
    <x:row r="28">
      <x:c r="A28" s="20" t="str">
        <x:v>Beginner</x:v>
      </x:c>
      <x:c r="B28" s="20" t="str">
        <x:v>A1</x:v>
      </x:c>
      <x:c r="C28" s="20" t="n">
        <x:v>12</x:v>
      </x:c>
      <x:c r="D28" s="20" t="str">
        <x:v>12B</x:v>
      </x:c>
      <x:c r="E28" s="20" t="str">
        <x:v>past simple revision</x:v>
      </x:c>
      <x:c r="F28" s="20" t="str">
        <x:v>Adjacent level</x:v>
      </x:c>
      <x:c r="G28" s="20" t="str">
        <x:v>Past Simple: Regular &amp; Irregular</x:v>
      </x:c>
      <x:c r="H28" s="20" t="str">
        <x:v>a2, b1</x:v>
      </x:c>
      <x:c r="I28" s="20" t="str"/>
      <x:c r="J28" s="20" t="str">
        <x:v>Medium</x:v>
      </x:c>
      <x:c r="K28" s="53" t="str">
        <x:v>https://assets4.theenglishfarm.com/cdn/ff/tbgFQFx6lVaBpvJALUEnfBhNK7JUgMEn6JDijps4Mv0/1727027356/public/english_file_beginner_sample_pages.pdf</x:v>
      </x:c>
    </x:row>
    <x:row r="29">
      <x:c r="A29" s="20" t="str">
        <x:v>Elementary</x:v>
      </x:c>
      <x:c r="B29" s="20" t="str">
        <x:v>A1+</x:v>
      </x:c>
      <x:c r="C29" s="20" t="n">
        <x:v>1</x:v>
      </x:c>
      <x:c r="D29" s="20" t="str">
        <x:v>1A</x:v>
      </x:c>
      <x:c r="E29" s="20" t="str">
        <x:v>verb be; subject pronouns</x:v>
      </x:c>
      <x:c r="F29" s="20" t="str">
        <x:v>Missing</x:v>
      </x:c>
      <x:c r="G29" s="20" t="str"/>
      <x:c r="H29" s="20" t="str"/>
      <x:c r="I29" s="20" t="str"/>
      <x:c r="J29" s="20" t="str">
        <x:v>High</x:v>
      </x:c>
      <x:c r="K29" s="53" t="str">
        <x:v>https://theenglishfarm.com/sites/default/files/english_file_elementary_sample_pages.pdf</x:v>
      </x:c>
    </x:row>
    <x:row r="30">
      <x:c r="A30" s="20" t="str">
        <x:v>Elementary</x:v>
      </x:c>
      <x:c r="B30" s="20" t="str">
        <x:v>A1+</x:v>
      </x:c>
      <x:c r="C30" s="20" t="n">
        <x:v>1</x:v>
      </x:c>
      <x:c r="D30" s="20" t="str">
        <x:v>1B</x:v>
      </x:c>
      <x:c r="E30" s="20" t="str">
        <x:v>verb be: negative and questions</x:v>
      </x:c>
      <x:c r="F30" s="20" t="str">
        <x:v>Missing</x:v>
      </x:c>
      <x:c r="G30" s="20" t="str"/>
      <x:c r="H30" s="20" t="str"/>
      <x:c r="I30" s="20" t="str"/>
      <x:c r="J30" s="20" t="str">
        <x:v>High</x:v>
      </x:c>
      <x:c r="K30" s="53" t="str">
        <x:v>https://theenglishfarm.com/sites/default/files/english_file_elementary_sample_pages.pdf</x:v>
      </x:c>
    </x:row>
    <x:row r="31">
      <x:c r="A31" s="20" t="str">
        <x:v>Elementary</x:v>
      </x:c>
      <x:c r="B31" s="20" t="str">
        <x:v>A1+</x:v>
      </x:c>
      <x:c r="C31" s="20" t="n">
        <x:v>1</x:v>
      </x:c>
      <x:c r="D31" s="20" t="str">
        <x:v>1C</x:v>
      </x:c>
      <x:c r="E31" s="20" t="str">
        <x:v>possessive adjectives</x:v>
      </x:c>
      <x:c r="F31" s="20" t="str">
        <x:v>Direct</x:v>
      </x:c>
      <x:c r="G31" s="20" t="str">
        <x:v>Possessive Pronouns and Adjectives</x:v>
      </x:c>
      <x:c r="H31" s="20" t="str">
        <x:v>a2, b1</x:v>
      </x:c>
      <x:c r="I31" s="20" t="str"/>
      <x:c r="J31" s="20" t="str">
        <x:v>Covered</x:v>
      </x:c>
      <x:c r="K31" s="53" t="str">
        <x:v>https://theenglishfarm.com/sites/default/files/english_file_elementary_sample_pages.pdf</x:v>
      </x:c>
    </x:row>
    <x:row r="32">
      <x:c r="A32" s="20" t="str">
        <x:v>Elementary</x:v>
      </x:c>
      <x:c r="B32" s="20" t="str">
        <x:v>A1+</x:v>
      </x:c>
      <x:c r="C32" s="20" t="n">
        <x:v>2</x:v>
      </x:c>
      <x:c r="D32" s="20" t="str">
        <x:v>2A</x:v>
      </x:c>
      <x:c r="E32" s="20" t="str">
        <x:v>singular and plural nouns</x:v>
      </x:c>
      <x:c r="F32" s="20" t="str">
        <x:v>Missing</x:v>
      </x:c>
      <x:c r="G32" s="20" t="str"/>
      <x:c r="H32" s="20" t="str"/>
      <x:c r="I32" s="20" t="str"/>
      <x:c r="J32" s="20" t="str">
        <x:v>High</x:v>
      </x:c>
      <x:c r="K32" s="53" t="str">
        <x:v>https://theenglishfarm.com/sites/default/files/english_file_elementary_sample_pages.pdf</x:v>
      </x:c>
    </x:row>
    <x:row r="33">
      <x:c r="A33" s="20" t="str">
        <x:v>Elementary</x:v>
      </x:c>
      <x:c r="B33" s="20" t="str">
        <x:v>A1+</x:v>
      </x:c>
      <x:c r="C33" s="20" t="n">
        <x:v>2</x:v>
      </x:c>
      <x:c r="D33" s="20" t="str">
        <x:v>2B</x:v>
      </x:c>
      <x:c r="E33" s="20" t="str">
        <x:v>adjectives</x:v>
      </x:c>
      <x:c r="F33" s="20" t="str">
        <x:v>Missing</x:v>
      </x:c>
      <x:c r="G33" s="20" t="str"/>
      <x:c r="H33" s="20" t="str"/>
      <x:c r="I33" s="20" t="str"/>
      <x:c r="J33" s="20" t="str">
        <x:v>High</x:v>
      </x:c>
      <x:c r="K33" s="53" t="str">
        <x:v>https://theenglishfarm.com/sites/default/files/english_file_elementary_sample_pages.pdf</x:v>
      </x:c>
    </x:row>
    <x:row r="34">
      <x:c r="A34" s="20" t="str">
        <x:v>Elementary</x:v>
      </x:c>
      <x:c r="B34" s="20" t="str">
        <x:v>A1+</x:v>
      </x:c>
      <x:c r="C34" s="20" t="n">
        <x:v>2</x:v>
      </x:c>
      <x:c r="D34" s="20" t="str">
        <x:v>2C</x:v>
      </x:c>
      <x:c r="E34" s="20" t="str">
        <x:v>imperatives; let's</x:v>
      </x:c>
      <x:c r="F34" s="20" t="str">
        <x:v>Missing</x:v>
      </x:c>
      <x:c r="G34" s="20" t="str"/>
      <x:c r="H34" s="20" t="str"/>
      <x:c r="I34" s="20" t="str"/>
      <x:c r="J34" s="20" t="str">
        <x:v>High</x:v>
      </x:c>
      <x:c r="K34" s="53" t="str">
        <x:v>https://theenglishfarm.com/sites/default/files/english_file_elementary_sample_pages.pdf</x:v>
      </x:c>
    </x:row>
    <x:row r="35">
      <x:c r="A35" s="20" t="str">
        <x:v>Elementary</x:v>
      </x:c>
      <x:c r="B35" s="20" t="str">
        <x:v>A1+</x:v>
      </x:c>
      <x:c r="C35" s="20" t="n">
        <x:v>3</x:v>
      </x:c>
      <x:c r="D35" s="20" t="str">
        <x:v>3A</x:v>
      </x:c>
      <x:c r="E35" s="20" t="str">
        <x:v>present simple: affirmative and negative</x:v>
      </x:c>
      <x:c r="F35" s="20" t="str">
        <x:v>Direct</x:v>
      </x:c>
      <x:c r="G35" s="20" t="str">
        <x:v>Present Simple &amp; Frequency</x:v>
      </x:c>
      <x:c r="H35" s="20" t="str">
        <x:v>a2, b1</x:v>
      </x:c>
      <x:c r="I35" s="20" t="str"/>
      <x:c r="J35" s="20" t="str">
        <x:v>Covered</x:v>
      </x:c>
      <x:c r="K35" s="53" t="str">
        <x:v>https://theenglishfarm.com/sites/default/files/english_file_elementary_sample_pages.pdf</x:v>
      </x:c>
    </x:row>
    <x:row r="36">
      <x:c r="A36" s="20" t="str">
        <x:v>Elementary</x:v>
      </x:c>
      <x:c r="B36" s="20" t="str">
        <x:v>A1+</x:v>
      </x:c>
      <x:c r="C36" s="20" t="n">
        <x:v>3</x:v>
      </x:c>
      <x:c r="D36" s="20" t="str">
        <x:v>3B</x:v>
      </x:c>
      <x:c r="E36" s="20" t="str">
        <x:v>present simple questions</x:v>
      </x:c>
      <x:c r="F36" s="20" t="str">
        <x:v>Partial</x:v>
      </x:c>
      <x:c r="G36" s="20" t="str">
        <x:v>Question Formation Mastery | Present Simple &amp; Frequency</x:v>
      </x:c>
      <x:c r="H36" s="20" t="str">
        <x:v>a2, b1</x:v>
      </x:c>
      <x:c r="I36" s="20" t="str">
        <x:v>Question practice is available, but not as a focused Elementary present-simple test.</x:v>
      </x:c>
      <x:c r="J36" s="20" t="str">
        <x:v>Medium</x:v>
      </x:c>
      <x:c r="K36" s="53" t="str">
        <x:v>https://theenglishfarm.com/sites/default/files/english_file_elementary_sample_pages.pdf</x:v>
      </x:c>
    </x:row>
    <x:row r="37">
      <x:c r="A37" s="20" t="str">
        <x:v>Elementary</x:v>
      </x:c>
      <x:c r="B37" s="20" t="str">
        <x:v>A1+</x:v>
      </x:c>
      <x:c r="C37" s="20" t="n">
        <x:v>3</x:v>
      </x:c>
      <x:c r="D37" s="20" t="str">
        <x:v>3C</x:v>
      </x:c>
      <x:c r="E37" s="20" t="str">
        <x:v>word order in questions</x:v>
      </x:c>
      <x:c r="F37" s="20" t="str">
        <x:v>Direct</x:v>
      </x:c>
      <x:c r="G37" s="20" t="str">
        <x:v>Question Formation Mastery</x:v>
      </x:c>
      <x:c r="H37" s="20" t="str">
        <x:v>a2, b1</x:v>
      </x:c>
      <x:c r="I37" s="20" t="str"/>
      <x:c r="J37" s="20" t="str">
        <x:v>Covered</x:v>
      </x:c>
      <x:c r="K37" s="53" t="str">
        <x:v>https://theenglishfarm.com/sites/default/files/english_file_elementary_sample_pages.pdf</x:v>
      </x:c>
    </x:row>
    <x:row r="38">
      <x:c r="A38" s="20" t="str">
        <x:v>Elementary</x:v>
      </x:c>
      <x:c r="B38" s="20" t="str">
        <x:v>A1+</x:v>
      </x:c>
      <x:c r="C38" s="20" t="n">
        <x:v>4</x:v>
      </x:c>
      <x:c r="D38" s="20" t="str">
        <x:v>4A</x:v>
      </x:c>
      <x:c r="E38" s="20" t="str">
        <x:v>possessive 's; Whose...?</x:v>
      </x:c>
      <x:c r="F38" s="20" t="str">
        <x:v>Missing</x:v>
      </x:c>
      <x:c r="G38" s="20" t="str">
        <x:v>Possessive Pronouns and Adjectives</x:v>
      </x:c>
      <x:c r="H38" s="20" t="str">
        <x:v>a2, b1</x:v>
      </x:c>
      <x:c r="I38" s="20" t="str">
        <x:v>The existing possessive test focuses pronouns/adjectives rather than possessive 's and Whose.</x:v>
      </x:c>
      <x:c r="J38" s="20" t="str">
        <x:v>High</x:v>
      </x:c>
      <x:c r="K38" s="53" t="str">
        <x:v>https://theenglishfarm.com/sites/default/files/english_file_elementary_sample_pages.pdf</x:v>
      </x:c>
    </x:row>
    <x:row r="39">
      <x:c r="A39" s="20" t="str">
        <x:v>Elementary</x:v>
      </x:c>
      <x:c r="B39" s="20" t="str">
        <x:v>A1+</x:v>
      </x:c>
      <x:c r="C39" s="20" t="n">
        <x:v>4</x:v>
      </x:c>
      <x:c r="D39" s="20" t="str">
        <x:v>4B</x:v>
      </x:c>
      <x:c r="E39" s="20" t="str">
        <x:v>prepositions of time and place</x:v>
      </x:c>
      <x:c r="F39" s="20" t="str">
        <x:v>Missing</x:v>
      </x:c>
      <x:c r="G39" s="20" t="str"/>
      <x:c r="H39" s="20" t="str"/>
      <x:c r="I39" s="20" t="str"/>
      <x:c r="J39" s="20" t="str">
        <x:v>High</x:v>
      </x:c>
      <x:c r="K39" s="53" t="str">
        <x:v>https://theenglishfarm.com/sites/default/files/english_file_elementary_sample_pages.pdf</x:v>
      </x:c>
    </x:row>
    <x:row r="40">
      <x:c r="A40" s="20" t="str">
        <x:v>Elementary</x:v>
      </x:c>
      <x:c r="B40" s="20" t="str">
        <x:v>A1+</x:v>
      </x:c>
      <x:c r="C40" s="20" t="n">
        <x:v>4</x:v>
      </x:c>
      <x:c r="D40" s="20" t="str">
        <x:v>4C</x:v>
      </x:c>
      <x:c r="E40" s="20" t="str">
        <x:v>position of adverbs and expressions of frequency</x:v>
      </x:c>
      <x:c r="F40" s="20" t="str">
        <x:v>Direct</x:v>
      </x:c>
      <x:c r="G40" s="20" t="str">
        <x:v>Present Simple &amp; Frequency</x:v>
      </x:c>
      <x:c r="H40" s="20" t="str">
        <x:v>a2, b1</x:v>
      </x:c>
      <x:c r="I40" s="20" t="str"/>
      <x:c r="J40" s="20" t="str">
        <x:v>Covered</x:v>
      </x:c>
      <x:c r="K40" s="53" t="str">
        <x:v>https://theenglishfarm.com/sites/default/files/english_file_elementary_sample_pages.pdf</x:v>
      </x:c>
    </x:row>
    <x:row r="41">
      <x:c r="A41" s="20" t="str">
        <x:v>Elementary</x:v>
      </x:c>
      <x:c r="B41" s="20" t="str">
        <x:v>A1+</x:v>
      </x:c>
      <x:c r="C41" s="20" t="n">
        <x:v>5</x:v>
      </x:c>
      <x:c r="D41" s="20" t="str">
        <x:v>5A</x:v>
      </x:c>
      <x:c r="E41" s="20" t="str">
        <x:v>can / can't</x:v>
      </x:c>
      <x:c r="F41" s="20" t="str">
        <x:v>Adjacent level</x:v>
      </x:c>
      <x:c r="G41" s="20" t="str">
        <x:v>Ability: Can, Could, or Be Able To?</x:v>
      </x:c>
      <x:c r="H41" s="20" t="str">
        <x:v>b1</x:v>
      </x:c>
      <x:c r="I41" s="20" t="str">
        <x:v>The relevant test is tagged B1 and has a broader scope.</x:v>
      </x:c>
      <x:c r="J41" s="20" t="str">
        <x:v>Medium</x:v>
      </x:c>
      <x:c r="K41" s="53" t="str">
        <x:v>https://theenglishfarm.com/sites/default/files/english_file_elementary_sample_pages.pdf</x:v>
      </x:c>
    </x:row>
    <x:row r="42">
      <x:c r="A42" s="20" t="str">
        <x:v>Elementary</x:v>
      </x:c>
      <x:c r="B42" s="20" t="str">
        <x:v>A1+</x:v>
      </x:c>
      <x:c r="C42" s="20" t="n">
        <x:v>5</x:v>
      </x:c>
      <x:c r="D42" s="20" t="str">
        <x:v>5B</x:v>
      </x:c>
      <x:c r="E42" s="20" t="str">
        <x:v>present continuous</x:v>
      </x:c>
      <x:c r="F42" s="20" t="str">
        <x:v>Partial</x:v>
      </x:c>
      <x:c r="G42" s="20" t="str">
        <x:v>Present Simple or Continuous?</x:v>
      </x:c>
      <x:c r="H42" s="20" t="str">
        <x:v>a2, b1</x:v>
      </x:c>
      <x:c r="I42" s="20" t="str">
        <x:v>Covered inside a contrast test rather than in isolation.</x:v>
      </x:c>
      <x:c r="J42" s="20" t="str">
        <x:v>Medium</x:v>
      </x:c>
      <x:c r="K42" s="53" t="str">
        <x:v>https://theenglishfarm.com/sites/default/files/english_file_elementary_sample_pages.pdf</x:v>
      </x:c>
    </x:row>
    <x:row r="43">
      <x:c r="A43" s="20" t="str">
        <x:v>Elementary</x:v>
      </x:c>
      <x:c r="B43" s="20" t="str">
        <x:v>A1+</x:v>
      </x:c>
      <x:c r="C43" s="20" t="n">
        <x:v>5</x:v>
      </x:c>
      <x:c r="D43" s="20" t="str">
        <x:v>5C</x:v>
      </x:c>
      <x:c r="E43" s="20" t="str">
        <x:v>present simple or present continuous</x:v>
      </x:c>
      <x:c r="F43" s="20" t="str">
        <x:v>Direct</x:v>
      </x:c>
      <x:c r="G43" s="20" t="str">
        <x:v>Present Simple or Continuous?</x:v>
      </x:c>
      <x:c r="H43" s="20" t="str">
        <x:v>a2, b1</x:v>
      </x:c>
      <x:c r="I43" s="20" t="str"/>
      <x:c r="J43" s="20" t="str">
        <x:v>Covered</x:v>
      </x:c>
      <x:c r="K43" s="53" t="str">
        <x:v>https://theenglishfarm.com/sites/default/files/english_file_elementary_sample_pages.pdf</x:v>
      </x:c>
    </x:row>
    <x:row r="44">
      <x:c r="A44" s="20" t="str">
        <x:v>Elementary</x:v>
      </x:c>
      <x:c r="B44" s="20" t="str">
        <x:v>A1+</x:v>
      </x:c>
      <x:c r="C44" s="20" t="n">
        <x:v>6</x:v>
      </x:c>
      <x:c r="D44" s="20" t="str">
        <x:v>6A</x:v>
      </x:c>
      <x:c r="E44" s="20" t="str">
        <x:v>object pronouns</x:v>
      </x:c>
      <x:c r="F44" s="20" t="str">
        <x:v>Missing</x:v>
      </x:c>
      <x:c r="G44" s="20" t="str"/>
      <x:c r="H44" s="20" t="str"/>
      <x:c r="I44" s="20" t="str"/>
      <x:c r="J44" s="20" t="str">
        <x:v>High</x:v>
      </x:c>
      <x:c r="K44" s="53" t="str">
        <x:v>https://theenglishfarm.com/sites/default/files/english_file_elementary_sample_pages.pdf</x:v>
      </x:c>
    </x:row>
    <x:row r="45">
      <x:c r="A45" s="20" t="str">
        <x:v>Elementary</x:v>
      </x:c>
      <x:c r="B45" s="20" t="str">
        <x:v>A1+</x:v>
      </x:c>
      <x:c r="C45" s="20" t="n">
        <x:v>6</x:v>
      </x:c>
      <x:c r="D45" s="20" t="str">
        <x:v>6B</x:v>
      </x:c>
      <x:c r="E45" s="20" t="str">
        <x:v>like + verb-ing</x:v>
      </x:c>
      <x:c r="F45" s="20" t="str">
        <x:v>Partial</x:v>
      </x:c>
      <x:c r="G45" s="20" t="str">
        <x:v>Gerunds and Infinitives Review</x:v>
      </x:c>
      <x:c r="H45" s="20" t="str">
        <x:v>a2, b1</x:v>
      </x:c>
      <x:c r="I45" s="20" t="str">
        <x:v>Covered inside a wider verb-pattern test.</x:v>
      </x:c>
      <x:c r="J45" s="20" t="str">
        <x:v>Medium</x:v>
      </x:c>
      <x:c r="K45" s="53" t="str">
        <x:v>https://theenglishfarm.com/sites/default/files/english_file_elementary_sample_pages.pdf</x:v>
      </x:c>
    </x:row>
    <x:row r="46">
      <x:c r="A46" s="20" t="str">
        <x:v>Elementary</x:v>
      </x:c>
      <x:c r="B46" s="20" t="str">
        <x:v>A1+</x:v>
      </x:c>
      <x:c r="C46" s="20" t="n">
        <x:v>6</x:v>
      </x:c>
      <x:c r="D46" s="20" t="str">
        <x:v>6C</x:v>
      </x:c>
      <x:c r="E46" s="20" t="str">
        <x:v>revision: be or do?</x:v>
      </x:c>
      <x:c r="F46" s="20" t="str">
        <x:v>Missing</x:v>
      </x:c>
      <x:c r="G46" s="20" t="str">
        <x:v>The Big Verb Review</x:v>
      </x:c>
      <x:c r="H46" s="20" t="str">
        <x:v>a2, b1</x:v>
      </x:c>
      <x:c r="I46" s="20" t="str">
        <x:v>The broad verb review does not explicitly target be/do auxiliary choice.</x:v>
      </x:c>
      <x:c r="J46" s="20" t="str">
        <x:v>High</x:v>
      </x:c>
      <x:c r="K46" s="53" t="str">
        <x:v>https://theenglishfarm.com/sites/default/files/english_file_elementary_sample_pages.pdf</x:v>
      </x:c>
    </x:row>
    <x:row r="47">
      <x:c r="A47" s="20" t="str">
        <x:v>Elementary</x:v>
      </x:c>
      <x:c r="B47" s="20" t="str">
        <x:v>A1+</x:v>
      </x:c>
      <x:c r="C47" s="20" t="n">
        <x:v>7</x:v>
      </x:c>
      <x:c r="D47" s="20" t="str">
        <x:v>7A</x:v>
      </x:c>
      <x:c r="E47" s="20" t="str">
        <x:v>past simple of be: was / were</x:v>
      </x:c>
      <x:c r="F47" s="20" t="str">
        <x:v>Partial</x:v>
      </x:c>
      <x:c r="G47" s="20" t="str">
        <x:v>Past Simple: Regular &amp; Irregular</x:v>
      </x:c>
      <x:c r="H47" s="20" t="str">
        <x:v>a2, b1</x:v>
      </x:c>
      <x:c r="I47" s="20" t="str"/>
      <x:c r="J47" s="20" t="str">
        <x:v>Medium</x:v>
      </x:c>
      <x:c r="K47" s="53" t="str">
        <x:v>https://theenglishfarm.com/sites/default/files/english_file_elementary_sample_pages.pdf</x:v>
      </x:c>
    </x:row>
    <x:row r="48">
      <x:c r="A48" s="20" t="str">
        <x:v>Elementary</x:v>
      </x:c>
      <x:c r="B48" s="20" t="str">
        <x:v>A1+</x:v>
      </x:c>
      <x:c r="C48" s="20" t="n">
        <x:v>7</x:v>
      </x:c>
      <x:c r="D48" s="20" t="str">
        <x:v>7B</x:v>
      </x:c>
      <x:c r="E48" s="20" t="str">
        <x:v>past simple: regular verbs</x:v>
      </x:c>
      <x:c r="F48" s="20" t="str">
        <x:v>Direct</x:v>
      </x:c>
      <x:c r="G48" s="20" t="str">
        <x:v>Past Simple: Regular &amp; Irregular</x:v>
      </x:c>
      <x:c r="H48" s="20" t="str">
        <x:v>a2, b1</x:v>
      </x:c>
      <x:c r="I48" s="20" t="str"/>
      <x:c r="J48" s="20" t="str">
        <x:v>Covered</x:v>
      </x:c>
      <x:c r="K48" s="53" t="str">
        <x:v>https://theenglishfarm.com/sites/default/files/english_file_elementary_sample_pages.pdf</x:v>
      </x:c>
    </x:row>
    <x:row r="49">
      <x:c r="A49" s="20" t="str">
        <x:v>Elementary</x:v>
      </x:c>
      <x:c r="B49" s="20" t="str">
        <x:v>A1+</x:v>
      </x:c>
      <x:c r="C49" s="20" t="n">
        <x:v>7</x:v>
      </x:c>
      <x:c r="D49" s="20" t="str">
        <x:v>7C</x:v>
      </x:c>
      <x:c r="E49" s="20" t="str">
        <x:v>past simple: irregular verbs</x:v>
      </x:c>
      <x:c r="F49" s="20" t="str">
        <x:v>Direct</x:v>
      </x:c>
      <x:c r="G49" s="20" t="str">
        <x:v>Past Simple: Regular &amp; Irregular</x:v>
      </x:c>
      <x:c r="H49" s="20" t="str">
        <x:v>a2, b1</x:v>
      </x:c>
      <x:c r="I49" s="20" t="str"/>
      <x:c r="J49" s="20" t="str">
        <x:v>Covered</x:v>
      </x:c>
      <x:c r="K49" s="53" t="str">
        <x:v>https://theenglishfarm.com/sites/default/files/english_file_elementary_sample_pages.pdf</x:v>
      </x:c>
    </x:row>
    <x:row r="50">
      <x:c r="A50" s="20" t="str">
        <x:v>Elementary</x:v>
      </x:c>
      <x:c r="B50" s="20" t="str">
        <x:v>A1+</x:v>
      </x:c>
      <x:c r="C50" s="20" t="n">
        <x:v>8</x:v>
      </x:c>
      <x:c r="D50" s="20" t="str">
        <x:v>8A</x:v>
      </x:c>
      <x:c r="E50" s="20" t="str">
        <x:v>past simple: regular and irregular verbs</x:v>
      </x:c>
      <x:c r="F50" s="20" t="str">
        <x:v>Direct</x:v>
      </x:c>
      <x:c r="G50" s="20" t="str">
        <x:v>Past Simple: Regular &amp; Irregular</x:v>
      </x:c>
      <x:c r="H50" s="20" t="str">
        <x:v>a2, b1</x:v>
      </x:c>
      <x:c r="I50" s="20" t="str"/>
      <x:c r="J50" s="20" t="str">
        <x:v>Covered</x:v>
      </x:c>
      <x:c r="K50" s="53" t="str">
        <x:v>https://theenglishfarm.com/sites/default/files/english_file_elementary_sample_pages.pdf</x:v>
      </x:c>
    </x:row>
    <x:row r="51">
      <x:c r="A51" s="20" t="str">
        <x:v>Elementary</x:v>
      </x:c>
      <x:c r="B51" s="20" t="str">
        <x:v>A1+</x:v>
      </x:c>
      <x:c r="C51" s="20" t="n">
        <x:v>8</x:v>
      </x:c>
      <x:c r="D51" s="20" t="str">
        <x:v>8B</x:v>
      </x:c>
      <x:c r="E51" s="20" t="str">
        <x:v>there is / there are; some / any + plural nouns</x:v>
      </x:c>
      <x:c r="F51" s="20" t="str">
        <x:v>Missing</x:v>
      </x:c>
      <x:c r="G51" s="20" t="str"/>
      <x:c r="H51" s="20" t="str"/>
      <x:c r="I51" s="20" t="str"/>
      <x:c r="J51" s="20" t="str">
        <x:v>High</x:v>
      </x:c>
      <x:c r="K51" s="53" t="str">
        <x:v>https://theenglishfarm.com/sites/default/files/english_file_elementary_sample_pages.pdf</x:v>
      </x:c>
    </x:row>
    <x:row r="52">
      <x:c r="A52" s="20" t="str">
        <x:v>Elementary</x:v>
      </x:c>
      <x:c r="B52" s="20" t="str">
        <x:v>A1+</x:v>
      </x:c>
      <x:c r="C52" s="20" t="n">
        <x:v>8</x:v>
      </x:c>
      <x:c r="D52" s="20" t="str">
        <x:v>8C</x:v>
      </x:c>
      <x:c r="E52" s="20" t="str">
        <x:v>there was / there were</x:v>
      </x:c>
      <x:c r="F52" s="20" t="str">
        <x:v>Missing</x:v>
      </x:c>
      <x:c r="G52" s="20" t="str"/>
      <x:c r="H52" s="20" t="str"/>
      <x:c r="I52" s="20" t="str"/>
      <x:c r="J52" s="20" t="str">
        <x:v>High</x:v>
      </x:c>
      <x:c r="K52" s="53" t="str">
        <x:v>https://theenglishfarm.com/sites/default/files/english_file_elementary_sample_pages.pdf</x:v>
      </x:c>
    </x:row>
    <x:row r="53">
      <x:c r="A53" s="20" t="str">
        <x:v>Elementary</x:v>
      </x:c>
      <x:c r="B53" s="20" t="str">
        <x:v>A1+</x:v>
      </x:c>
      <x:c r="C53" s="20" t="n">
        <x:v>9</x:v>
      </x:c>
      <x:c r="D53" s="20" t="str">
        <x:v>9A</x:v>
      </x:c>
      <x:c r="E53" s="20" t="str">
        <x:v>countable / uncountable nouns; a / an; some / any</x:v>
      </x:c>
      <x:c r="F53" s="20" t="str">
        <x:v>Adjacent level</x:v>
      </x:c>
      <x:c r="G53" s="20" t="str">
        <x:v>Countable and Uncountable Nouns</x:v>
      </x:c>
      <x:c r="H53" s="20" t="str">
        <x:v>b2</x:v>
      </x:c>
      <x:c r="I53" s="20" t="str">
        <x:v>A B2 test exists, but there is no level-appropriate A1+/A2 test.</x:v>
      </x:c>
      <x:c r="J53" s="20" t="str">
        <x:v>Medium</x:v>
      </x:c>
      <x:c r="K53" s="53" t="str">
        <x:v>https://theenglishfarm.com/sites/default/files/english_file_elementary_sample_pages.pdf</x:v>
      </x:c>
    </x:row>
    <x:row r="54">
      <x:c r="A54" s="20" t="str">
        <x:v>Elementary</x:v>
      </x:c>
      <x:c r="B54" s="20" t="str">
        <x:v>A1+</x:v>
      </x:c>
      <x:c r="C54" s="20" t="n">
        <x:v>9</x:v>
      </x:c>
      <x:c r="D54" s="20" t="str">
        <x:v>9B</x:v>
      </x:c>
      <x:c r="E54" s="20" t="str">
        <x:v>quantifiers: how much / how many / a lot of</x:v>
      </x:c>
      <x:c r="F54" s="20" t="str">
        <x:v>Partial</x:v>
      </x:c>
      <x:c r="G54" s="20" t="str">
        <x:v>Quantifiers</x:v>
      </x:c>
      <x:c r="H54" s="20" t="str">
        <x:v>b1</x:v>
      </x:c>
      <x:c r="I54" s="20" t="str">
        <x:v>The B1 quantifier test is broader and above the book level.</x:v>
      </x:c>
      <x:c r="J54" s="20" t="str">
        <x:v>Medium</x:v>
      </x:c>
      <x:c r="K54" s="53" t="str">
        <x:v>https://theenglishfarm.com/sites/default/files/english_file_elementary_sample_pages.pdf</x:v>
      </x:c>
    </x:row>
    <x:row r="55">
      <x:c r="A55" s="20" t="str">
        <x:v>Elementary</x:v>
      </x:c>
      <x:c r="B55" s="20" t="str">
        <x:v>A1+</x:v>
      </x:c>
      <x:c r="C55" s="20" t="n">
        <x:v>9</x:v>
      </x:c>
      <x:c r="D55" s="20" t="str">
        <x:v>9C</x:v>
      </x:c>
      <x:c r="E55" s="20" t="str">
        <x:v>comparative adjectives</x:v>
      </x:c>
      <x:c r="F55" s="20" t="str">
        <x:v>Direct</x:v>
      </x:c>
      <x:c r="G55" s="20" t="str">
        <x:v>Comparatives: Adjectives and Adverbs</x:v>
      </x:c>
      <x:c r="H55" s="20" t="str">
        <x:v>a2, b1</x:v>
      </x:c>
      <x:c r="I55" s="20" t="str"/>
      <x:c r="J55" s="20" t="str">
        <x:v>Covered</x:v>
      </x:c>
      <x:c r="K55" s="53" t="str">
        <x:v>https://theenglishfarm.com/sites/default/files/english_file_elementary_sample_pages.pdf</x:v>
      </x:c>
    </x:row>
    <x:row r="56">
      <x:c r="A56" s="20" t="str">
        <x:v>Elementary</x:v>
      </x:c>
      <x:c r="B56" s="20" t="str">
        <x:v>A1+</x:v>
      </x:c>
      <x:c r="C56" s="20" t="n">
        <x:v>10</x:v>
      </x:c>
      <x:c r="D56" s="20" t="str">
        <x:v>10A</x:v>
      </x:c>
      <x:c r="E56" s="20" t="str">
        <x:v>superlative adjectives</x:v>
      </x:c>
      <x:c r="F56" s="20" t="str">
        <x:v>Direct</x:v>
      </x:c>
      <x:c r="G56" s="20" t="str">
        <x:v>Superlatives: The Best &amp; The Worst</x:v>
      </x:c>
      <x:c r="H56" s="20" t="str">
        <x:v>a2, b1</x:v>
      </x:c>
      <x:c r="I56" s="20" t="str"/>
      <x:c r="J56" s="20" t="str">
        <x:v>Covered</x:v>
      </x:c>
      <x:c r="K56" s="53" t="str">
        <x:v>https://theenglishfarm.com/sites/default/files/english_file_elementary_sample_pages.pdf</x:v>
      </x:c>
    </x:row>
    <x:row r="57">
      <x:c r="A57" s="20" t="str">
        <x:v>Elementary</x:v>
      </x:c>
      <x:c r="B57" s="20" t="str">
        <x:v>A1+</x:v>
      </x:c>
      <x:c r="C57" s="20" t="n">
        <x:v>10</x:v>
      </x:c>
      <x:c r="D57" s="20" t="str">
        <x:v>10B</x:v>
      </x:c>
      <x:c r="E57" s="20" t="str">
        <x:v>be going to: plans; future time expressions</x:v>
      </x:c>
      <x:c r="F57" s="20" t="str">
        <x:v>Direct</x:v>
      </x:c>
      <x:c r="G57" s="20" t="str">
        <x:v>Be Going To: Plans vs. Predictions | Arrangements or Intentions?</x:v>
      </x:c>
      <x:c r="H57" s="20" t="str">
        <x:v>a2, b1</x:v>
      </x:c>
      <x:c r="I57" s="20" t="str"/>
      <x:c r="J57" s="20" t="str">
        <x:v>Covered</x:v>
      </x:c>
      <x:c r="K57" s="53" t="str">
        <x:v>https://theenglishfarm.com/sites/default/files/english_file_elementary_sample_pages.pdf</x:v>
      </x:c>
    </x:row>
    <x:row r="58">
      <x:c r="A58" s="20" t="str">
        <x:v>Elementary</x:v>
      </x:c>
      <x:c r="B58" s="20" t="str">
        <x:v>A1+</x:v>
      </x:c>
      <x:c r="C58" s="20" t="n">
        <x:v>10</x:v>
      </x:c>
      <x:c r="D58" s="20" t="str">
        <x:v>10C</x:v>
      </x:c>
      <x:c r="E58" s="20" t="str">
        <x:v>be going to: predictions</x:v>
      </x:c>
      <x:c r="F58" s="20" t="str">
        <x:v>Direct</x:v>
      </x:c>
      <x:c r="G58" s="20" t="str">
        <x:v>Be Going To: Plans vs. Predictions</x:v>
      </x:c>
      <x:c r="H58" s="20" t="str">
        <x:v>a2, b1</x:v>
      </x:c>
      <x:c r="I58" s="20" t="str"/>
      <x:c r="J58" s="20" t="str">
        <x:v>Covered</x:v>
      </x:c>
      <x:c r="K58" s="53" t="str">
        <x:v>https://theenglishfarm.com/sites/default/files/english_file_elementary_sample_pages.pdf</x:v>
      </x:c>
    </x:row>
    <x:row r="59">
      <x:c r="A59" s="20" t="str">
        <x:v>Elementary</x:v>
      </x:c>
      <x:c r="B59" s="20" t="str">
        <x:v>A1+</x:v>
      </x:c>
      <x:c r="C59" s="20" t="n">
        <x:v>11</x:v>
      </x:c>
      <x:c r="D59" s="20" t="str">
        <x:v>11A</x:v>
      </x:c>
      <x:c r="E59" s="20" t="str">
        <x:v>adverbs: manner and modifiers</x:v>
      </x:c>
      <x:c r="F59" s="20" t="str">
        <x:v>Missing</x:v>
      </x:c>
      <x:c r="G59" s="20" t="str">
        <x:v>Adverb Position: B2 Practice</x:v>
      </x:c>
      <x:c r="H59" s="20" t="str">
        <x:v>b2</x:v>
      </x:c>
      <x:c r="I59" s="20" t="str">
        <x:v>The only focused adverb-position test is B2.</x:v>
      </x:c>
      <x:c r="J59" s="20" t="str">
        <x:v>High</x:v>
      </x:c>
      <x:c r="K59" s="53" t="str">
        <x:v>https://theenglishfarm.com/sites/default/files/english_file_elementary_sample_pages.pdf</x:v>
      </x:c>
    </x:row>
    <x:row r="60">
      <x:c r="A60" s="20" t="str">
        <x:v>Elementary</x:v>
      </x:c>
      <x:c r="B60" s="20" t="str">
        <x:v>A1+</x:v>
      </x:c>
      <x:c r="C60" s="20" t="n">
        <x:v>11</x:v>
      </x:c>
      <x:c r="D60" s="20" t="str">
        <x:v>11B</x:v>
      </x:c>
      <x:c r="E60" s="20" t="str">
        <x:v>verb + to + infinitive</x:v>
      </x:c>
      <x:c r="F60" s="20" t="str">
        <x:v>Direct</x:v>
      </x:c>
      <x:c r="G60" s="20" t="str">
        <x:v>Gerunds and Infinitives Review</x:v>
      </x:c>
      <x:c r="H60" s="20" t="str">
        <x:v>a2, b1</x:v>
      </x:c>
      <x:c r="I60" s="20" t="str"/>
      <x:c r="J60" s="20" t="str">
        <x:v>Covered</x:v>
      </x:c>
      <x:c r="K60" s="53" t="str">
        <x:v>https://theenglishfarm.com/sites/default/files/english_file_elementary_sample_pages.pdf</x:v>
      </x:c>
    </x:row>
    <x:row r="61">
      <x:c r="A61" s="20" t="str">
        <x:v>Elementary</x:v>
      </x:c>
      <x:c r="B61" s="20" t="str">
        <x:v>A1+</x:v>
      </x:c>
      <x:c r="C61" s="20" t="n">
        <x:v>11</x:v>
      </x:c>
      <x:c r="D61" s="20" t="str">
        <x:v>11C</x:v>
      </x:c>
      <x:c r="E61" s="20" t="str">
        <x:v>definite article: the or no the</x:v>
      </x:c>
      <x:c r="F61" s="20" t="str">
        <x:v>Adjacent level</x:v>
      </x:c>
      <x:c r="G61" s="20" t="str">
        <x:v>Articles</x:v>
      </x:c>
      <x:c r="H61" s="20" t="str">
        <x:v>b1</x:v>
      </x:c>
      <x:c r="I61" s="20" t="str">
        <x:v>Article practice exists at B1, not at Elementary.</x:v>
      </x:c>
      <x:c r="J61" s="20" t="str">
        <x:v>Medium</x:v>
      </x:c>
      <x:c r="K61" s="53" t="str">
        <x:v>https://theenglishfarm.com/sites/default/files/english_file_elementary_sample_pages.pdf</x:v>
      </x:c>
    </x:row>
    <x:row r="62">
      <x:c r="A62" s="20" t="str">
        <x:v>Elementary</x:v>
      </x:c>
      <x:c r="B62" s="20" t="str">
        <x:v>A1+</x:v>
      </x:c>
      <x:c r="C62" s="20" t="n">
        <x:v>12</x:v>
      </x:c>
      <x:c r="D62" s="20" t="str">
        <x:v>12A</x:v>
      </x:c>
      <x:c r="E62" s="20" t="str">
        <x:v>present perfect</x:v>
      </x:c>
      <x:c r="F62" s="20" t="str">
        <x:v>Direct</x:v>
      </x:c>
      <x:c r="G62" s="20" t="str">
        <x:v>Present Perfect: Adverbs &amp; Form</x:v>
      </x:c>
      <x:c r="H62" s="20" t="str">
        <x:v>a2, b1</x:v>
      </x:c>
      <x:c r="I62" s="20" t="str"/>
      <x:c r="J62" s="20" t="str">
        <x:v>Covered</x:v>
      </x:c>
      <x:c r="K62" s="53" t="str">
        <x:v>https://theenglishfarm.com/sites/default/files/english_file_elementary_sample_pages.pdf</x:v>
      </x:c>
    </x:row>
    <x:row r="63">
      <x:c r="A63" s="20" t="str">
        <x:v>Elementary</x:v>
      </x:c>
      <x:c r="B63" s="20" t="str">
        <x:v>A1+</x:v>
      </x:c>
      <x:c r="C63" s="20" t="n">
        <x:v>12</x:v>
      </x:c>
      <x:c r="D63" s="20" t="str">
        <x:v>12B</x:v>
      </x:c>
      <x:c r="E63" s="20" t="str">
        <x:v>present perfect or past simple</x:v>
      </x:c>
      <x:c r="F63" s="20" t="str">
        <x:v>Direct</x:v>
      </x:c>
      <x:c r="G63" s="20" t="str">
        <x:v>Present Perfect or Past Simple?</x:v>
      </x:c>
      <x:c r="H63" s="20" t="str">
        <x:v>a2, b1</x:v>
      </x:c>
      <x:c r="I63" s="20" t="str"/>
      <x:c r="J63" s="20" t="str">
        <x:v>Covered</x:v>
      </x:c>
      <x:c r="K63" s="53" t="str">
        <x:v>https://theenglishfarm.com/sites/default/files/english_file_elementary_sample_pages.pdf</x:v>
      </x:c>
    </x:row>
    <x:row r="64">
      <x:c r="A64" s="20" t="str">
        <x:v>Elementary</x:v>
      </x:c>
      <x:c r="B64" s="20" t="str">
        <x:v>A1+</x:v>
      </x:c>
      <x:c r="C64" s="20" t="n">
        <x:v>12</x:v>
      </x:c>
      <x:c r="D64" s="20" t="str">
        <x:v>12C</x:v>
      </x:c>
      <x:c r="E64" s="20" t="str">
        <x:v>revision: question formation</x:v>
      </x:c>
      <x:c r="F64" s="20" t="str">
        <x:v>Direct</x:v>
      </x:c>
      <x:c r="G64" s="20" t="str">
        <x:v>Question Formation Mastery</x:v>
      </x:c>
      <x:c r="H64" s="20" t="str">
        <x:v>a2, b1</x:v>
      </x:c>
      <x:c r="I64" s="20" t="str"/>
      <x:c r="J64" s="20" t="str">
        <x:v>Covered</x:v>
      </x:c>
      <x:c r="K64" s="53" t="str">
        <x:v>https://theenglishfarm.com/sites/default/files/english_file_elementary_sample_pages.pdf</x:v>
      </x:c>
    </x:row>
    <x:row r="65">
      <x:c r="A65" s="20" t="str">
        <x:v>Pre-Intermediate</x:v>
      </x:c>
      <x:c r="B65" s="20" t="str">
        <x:v>A2-B1</x:v>
      </x:c>
      <x:c r="C65" s="20" t="n">
        <x:v>1</x:v>
      </x:c>
      <x:c r="D65" s="20" t="str">
        <x:v>1A</x:v>
      </x:c>
      <x:c r="E65" s="20" t="str">
        <x:v>word order in questions</x:v>
      </x:c>
      <x:c r="F65" s="20" t="str">
        <x:v>Direct</x:v>
      </x:c>
      <x:c r="G65" s="20" t="str">
        <x:v>Question Formation Mastery</x:v>
      </x:c>
      <x:c r="H65" s="20" t="str">
        <x:v>a2, b1</x:v>
      </x:c>
      <x:c r="I65" s="20" t="str"/>
      <x:c r="J65" s="20" t="str">
        <x:v>Covered</x:v>
      </x:c>
      <x:c r="K65" s="53" t="str">
        <x:v>https://studylib.net/doc/27609549/english-file-4th-edition-pre-intermediate-tg-internationa...</x:v>
      </x:c>
    </x:row>
    <x:row r="66">
      <x:c r="A66" s="20" t="str">
        <x:v>Pre-Intermediate</x:v>
      </x:c>
      <x:c r="B66" s="20" t="str">
        <x:v>A2-B1</x:v>
      </x:c>
      <x:c r="C66" s="20" t="n">
        <x:v>1</x:v>
      </x:c>
      <x:c r="D66" s="20" t="str">
        <x:v>1B</x:v>
      </x:c>
      <x:c r="E66" s="20" t="str">
        <x:v>present simple</x:v>
      </x:c>
      <x:c r="F66" s="20" t="str">
        <x:v>Direct</x:v>
      </x:c>
      <x:c r="G66" s="20" t="str">
        <x:v>Present Simple &amp; Frequency</x:v>
      </x:c>
      <x:c r="H66" s="20" t="str">
        <x:v>a2, b1</x:v>
      </x:c>
      <x:c r="I66" s="20" t="str"/>
      <x:c r="J66" s="20" t="str">
        <x:v>Covered</x:v>
      </x:c>
      <x:c r="K66" s="53" t="str">
        <x:v>https://studylib.net/doc/27609549/english-file-4th-edition-pre-intermediate-tg-internationa...</x:v>
      </x:c>
    </x:row>
    <x:row r="67">
      <x:c r="A67" s="20" t="str">
        <x:v>Pre-Intermediate</x:v>
      </x:c>
      <x:c r="B67" s="20" t="str">
        <x:v>A2-B1</x:v>
      </x:c>
      <x:c r="C67" s="20" t="n">
        <x:v>1</x:v>
      </x:c>
      <x:c r="D67" s="20" t="str">
        <x:v>1C</x:v>
      </x:c>
      <x:c r="E67" s="20" t="str">
        <x:v>present continuous</x:v>
      </x:c>
      <x:c r="F67" s="20" t="str">
        <x:v>Direct</x:v>
      </x:c>
      <x:c r="G67" s="20" t="str">
        <x:v>Present Simple or Continuous?</x:v>
      </x:c>
      <x:c r="H67" s="20" t="str">
        <x:v>a2, b1</x:v>
      </x:c>
      <x:c r="I67" s="20" t="str"/>
      <x:c r="J67" s="20" t="str">
        <x:v>Covered</x:v>
      </x:c>
      <x:c r="K67" s="53" t="str">
        <x:v>https://studylib.net/doc/27609549/english-file-4th-edition-pre-intermediate-tg-internationa...</x:v>
      </x:c>
    </x:row>
    <x:row r="68">
      <x:c r="A68" s="20" t="str">
        <x:v>Pre-Intermediate</x:v>
      </x:c>
      <x:c r="B68" s="20" t="str">
        <x:v>A2-B1</x:v>
      </x:c>
      <x:c r="C68" s="20" t="n">
        <x:v>2</x:v>
      </x:c>
      <x:c r="D68" s="20" t="str">
        <x:v>2A</x:v>
      </x:c>
      <x:c r="E68" s="20" t="str">
        <x:v>past simple: regular and irregular verbs</x:v>
      </x:c>
      <x:c r="F68" s="20" t="str">
        <x:v>Direct</x:v>
      </x:c>
      <x:c r="G68" s="20" t="str">
        <x:v>Past Simple: Regular &amp; Irregular</x:v>
      </x:c>
      <x:c r="H68" s="20" t="str">
        <x:v>a2, b1</x:v>
      </x:c>
      <x:c r="I68" s="20" t="str"/>
      <x:c r="J68" s="20" t="str">
        <x:v>Covered</x:v>
      </x:c>
      <x:c r="K68" s="53" t="str">
        <x:v>https://studylib.net/doc/27609549/english-file-4th-edition-pre-intermediate-tg-internationa...</x:v>
      </x:c>
    </x:row>
    <x:row r="69">
      <x:c r="A69" s="20" t="str">
        <x:v>Pre-Intermediate</x:v>
      </x:c>
      <x:c r="B69" s="20" t="str">
        <x:v>A2-B1</x:v>
      </x:c>
      <x:c r="C69" s="20" t="n">
        <x:v>2</x:v>
      </x:c>
      <x:c r="D69" s="20" t="str">
        <x:v>2B</x:v>
      </x:c>
      <x:c r="E69" s="20" t="str">
        <x:v>past continuous</x:v>
      </x:c>
      <x:c r="F69" s="20" t="str">
        <x:v>Direct</x:v>
      </x:c>
      <x:c r="G69" s="20" t="str">
        <x:v>Past Continuous vs Past Simple</x:v>
      </x:c>
      <x:c r="H69" s="20" t="str">
        <x:v>a2, b1</x:v>
      </x:c>
      <x:c r="I69" s="20" t="str"/>
      <x:c r="J69" s="20" t="str">
        <x:v>Covered</x:v>
      </x:c>
      <x:c r="K69" s="53" t="str">
        <x:v>https://studylib.net/doc/27609549/english-file-4th-edition-pre-intermediate-tg-internationa...</x:v>
      </x:c>
    </x:row>
    <x:row r="70">
      <x:c r="A70" s="20" t="str">
        <x:v>Pre-Intermediate</x:v>
      </x:c>
      <x:c r="B70" s="20" t="str">
        <x:v>A2-B1</x:v>
      </x:c>
      <x:c r="C70" s="20" t="n">
        <x:v>2</x:v>
      </x:c>
      <x:c r="D70" s="20" t="str">
        <x:v>2C</x:v>
      </x:c>
      <x:c r="E70" s="20" t="str">
        <x:v>time sequencers and connectors</x:v>
      </x:c>
      <x:c r="F70" s="20" t="str">
        <x:v>Direct</x:v>
      </x:c>
      <x:c r="G70" s="20" t="str">
        <x:v>Connectors: Reason, Result &amp; Contrast</x:v>
      </x:c>
      <x:c r="H70" s="20" t="str">
        <x:v>a2, b1</x:v>
      </x:c>
      <x:c r="I70" s="20" t="str"/>
      <x:c r="J70" s="20" t="str">
        <x:v>Covered</x:v>
      </x:c>
      <x:c r="K70" s="53" t="str">
        <x:v>https://studylib.net/doc/27609549/english-file-4th-edition-pre-intermediate-tg-internationa...</x:v>
      </x:c>
    </x:row>
    <x:row r="71">
      <x:c r="A71" s="20" t="str">
        <x:v>Pre-Intermediate</x:v>
      </x:c>
      <x:c r="B71" s="20" t="str">
        <x:v>A2-B1</x:v>
      </x:c>
      <x:c r="C71" s="20" t="n">
        <x:v>3</x:v>
      </x:c>
      <x:c r="D71" s="20" t="str">
        <x:v>3A</x:v>
      </x:c>
      <x:c r="E71" s="20" t="str">
        <x:v>be going to: plans and predictions</x:v>
      </x:c>
      <x:c r="F71" s="20" t="str">
        <x:v>Direct</x:v>
      </x:c>
      <x:c r="G71" s="20" t="str">
        <x:v>Be Going To: Plans vs. Predictions</x:v>
      </x:c>
      <x:c r="H71" s="20" t="str">
        <x:v>a2, b1</x:v>
      </x:c>
      <x:c r="I71" s="20" t="str"/>
      <x:c r="J71" s="20" t="str">
        <x:v>Covered</x:v>
      </x:c>
      <x:c r="K71" s="53" t="str">
        <x:v>https://studylib.net/doc/27609549/english-file-4th-edition-pre-intermediate-tg-internationa...</x:v>
      </x:c>
    </x:row>
    <x:row r="72">
      <x:c r="A72" s="20" t="str">
        <x:v>Pre-Intermediate</x:v>
      </x:c>
      <x:c r="B72" s="20" t="str">
        <x:v>A2-B1</x:v>
      </x:c>
      <x:c r="C72" s="20" t="n">
        <x:v>3</x:v>
      </x:c>
      <x:c r="D72" s="20" t="str">
        <x:v>3B</x:v>
      </x:c>
      <x:c r="E72" s="20" t="str">
        <x:v>present continuous: future arrangements</x:v>
      </x:c>
      <x:c r="F72" s="20" t="str">
        <x:v>Direct</x:v>
      </x:c>
      <x:c r="G72" s="20" t="str">
        <x:v>Arrangements or Intentions? | Future Forms</x:v>
      </x:c>
      <x:c r="H72" s="20" t="str">
        <x:v>a2, b1</x:v>
      </x:c>
      <x:c r="I72" s="20" t="str"/>
      <x:c r="J72" s="20" t="str">
        <x:v>Covered</x:v>
      </x:c>
      <x:c r="K72" s="53" t="str">
        <x:v>https://studylib.net/doc/27609549/english-file-4th-edition-pre-intermediate-tg-internationa...</x:v>
      </x:c>
    </x:row>
    <x:row r="73">
      <x:c r="A73" s="20" t="str">
        <x:v>Pre-Intermediate</x:v>
      </x:c>
      <x:c r="B73" s="20" t="str">
        <x:v>A2-B1</x:v>
      </x:c>
      <x:c r="C73" s="20" t="n">
        <x:v>3</x:v>
      </x:c>
      <x:c r="D73" s="20" t="str">
        <x:v>3C</x:v>
      </x:c>
      <x:c r="E73" s="20" t="str">
        <x:v>defining relative clauses</x:v>
      </x:c>
      <x:c r="F73" s="20" t="str">
        <x:v>Direct</x:v>
      </x:c>
      <x:c r="G73" s="20" t="str">
        <x:v>Who, Which, and Where</x:v>
      </x:c>
      <x:c r="H73" s="20" t="str">
        <x:v>a2, b1</x:v>
      </x:c>
      <x:c r="I73" s="20" t="str"/>
      <x:c r="J73" s="20" t="str">
        <x:v>Covered</x:v>
      </x:c>
      <x:c r="K73" s="53" t="str">
        <x:v>https://studylib.net/doc/27609549/english-file-4th-edition-pre-intermediate-tg-internationa...</x:v>
      </x:c>
    </x:row>
    <x:row r="74">
      <x:c r="A74" s="20" t="str">
        <x:v>Pre-Intermediate</x:v>
      </x:c>
      <x:c r="B74" s="20" t="str">
        <x:v>A2-B1</x:v>
      </x:c>
      <x:c r="C74" s="20" t="n">
        <x:v>4</x:v>
      </x:c>
      <x:c r="D74" s="20" t="str">
        <x:v>4A</x:v>
      </x:c>
      <x:c r="E74" s="20" t="str">
        <x:v>present perfect + yet / just / already</x:v>
      </x:c>
      <x:c r="F74" s="20" t="str">
        <x:v>Direct</x:v>
      </x:c>
      <x:c r="G74" s="20" t="str">
        <x:v>Present Perfect: Adverbs &amp; Form</x:v>
      </x:c>
      <x:c r="H74" s="20" t="str">
        <x:v>a2, b1</x:v>
      </x:c>
      <x:c r="I74" s="20" t="str"/>
      <x:c r="J74" s="20" t="str">
        <x:v>Covered</x:v>
      </x:c>
      <x:c r="K74" s="53" t="str">
        <x:v>https://studylib.net/doc/27609549/english-file-4th-edition-pre-intermediate-tg-internationa...</x:v>
      </x:c>
    </x:row>
    <x:row r="75">
      <x:c r="A75" s="20" t="str">
        <x:v>Pre-Intermediate</x:v>
      </x:c>
      <x:c r="B75" s="20" t="str">
        <x:v>A2-B1</x:v>
      </x:c>
      <x:c r="C75" s="20" t="n">
        <x:v>4</x:v>
      </x:c>
      <x:c r="D75" s="20" t="str">
        <x:v>4B</x:v>
      </x:c>
      <x:c r="E75" s="20" t="str">
        <x:v>present perfect or past simple (1)</x:v>
      </x:c>
      <x:c r="F75" s="20" t="str">
        <x:v>Direct</x:v>
      </x:c>
      <x:c r="G75" s="20" t="str">
        <x:v>Present Perfect or Past Simple?</x:v>
      </x:c>
      <x:c r="H75" s="20" t="str">
        <x:v>a2, b1</x:v>
      </x:c>
      <x:c r="I75" s="20" t="str"/>
      <x:c r="J75" s="20" t="str">
        <x:v>Covered</x:v>
      </x:c>
      <x:c r="K75" s="53" t="str">
        <x:v>https://studylib.net/doc/27609549/english-file-4th-edition-pre-intermediate-tg-internationa...</x:v>
      </x:c>
    </x:row>
    <x:row r="76">
      <x:c r="A76" s="20" t="str">
        <x:v>Pre-Intermediate</x:v>
      </x:c>
      <x:c r="B76" s="20" t="str">
        <x:v>A2-B1</x:v>
      </x:c>
      <x:c r="C76" s="20" t="n">
        <x:v>4</x:v>
      </x:c>
      <x:c r="D76" s="20" t="str">
        <x:v>4C</x:v>
      </x:c>
      <x:c r="E76" s="20" t="str">
        <x:v>something / anything / nothing, etc.</x:v>
      </x:c>
      <x:c r="F76" s="20" t="str">
        <x:v>Direct</x:v>
      </x:c>
      <x:c r="G76" s="20" t="str">
        <x:v>Something, Anything, Nothing</x:v>
      </x:c>
      <x:c r="H76" s="20" t="str">
        <x:v>a2, b1</x:v>
      </x:c>
      <x:c r="I76" s="20" t="str"/>
      <x:c r="J76" s="20" t="str">
        <x:v>Covered</x:v>
      </x:c>
      <x:c r="K76" s="53" t="str">
        <x:v>https://studylib.net/doc/27609549/english-file-4th-edition-pre-intermediate-tg-internationa...</x:v>
      </x:c>
    </x:row>
    <x:row r="77">
      <x:c r="A77" s="20" t="str">
        <x:v>Pre-Intermediate</x:v>
      </x:c>
      <x:c r="B77" s="20" t="str">
        <x:v>A2-B1</x:v>
      </x:c>
      <x:c r="C77" s="20" t="n">
        <x:v>5</x:v>
      </x:c>
      <x:c r="D77" s="20" t="str">
        <x:v>5A</x:v>
      </x:c>
      <x:c r="E77" s="20" t="str">
        <x:v>comparative adjectives and adverbs; as...as</x:v>
      </x:c>
      <x:c r="F77" s="20" t="str">
        <x:v>Direct</x:v>
      </x:c>
      <x:c r="G77" s="20" t="str">
        <x:v>Comparatives: Adjectives and Adverbs</x:v>
      </x:c>
      <x:c r="H77" s="20" t="str">
        <x:v>a2, b1</x:v>
      </x:c>
      <x:c r="I77" s="20" t="str"/>
      <x:c r="J77" s="20" t="str">
        <x:v>Covered</x:v>
      </x:c>
      <x:c r="K77" s="53" t="str">
        <x:v>https://studylib.net/doc/27609549/english-file-4th-edition-pre-intermediate-tg-internationa...</x:v>
      </x:c>
    </x:row>
    <x:row r="78">
      <x:c r="A78" s="20" t="str">
        <x:v>Pre-Intermediate</x:v>
      </x:c>
      <x:c r="B78" s="20" t="str">
        <x:v>A2-B1</x:v>
      </x:c>
      <x:c r="C78" s="20" t="n">
        <x:v>5</x:v>
      </x:c>
      <x:c r="D78" s="20" t="str">
        <x:v>5B</x:v>
      </x:c>
      <x:c r="E78" s="20" t="str">
        <x:v>superlatives + ever + present perfect</x:v>
      </x:c>
      <x:c r="F78" s="20" t="str">
        <x:v>Direct</x:v>
      </x:c>
      <x:c r="G78" s="20" t="str">
        <x:v>Superlatives: The Best &amp; The Worst</x:v>
      </x:c>
      <x:c r="H78" s="20" t="str">
        <x:v>a2, b1</x:v>
      </x:c>
      <x:c r="I78" s="20" t="str"/>
      <x:c r="J78" s="20" t="str">
        <x:v>Covered</x:v>
      </x:c>
      <x:c r="K78" s="53" t="str">
        <x:v>https://studylib.net/doc/27609549/english-file-4th-edition-pre-intermediate-tg-internationa...</x:v>
      </x:c>
    </x:row>
    <x:row r="79">
      <x:c r="A79" s="20" t="str">
        <x:v>Pre-Intermediate</x:v>
      </x:c>
      <x:c r="B79" s="20" t="str">
        <x:v>A2-B1</x:v>
      </x:c>
      <x:c r="C79" s="20" t="n">
        <x:v>5</x:v>
      </x:c>
      <x:c r="D79" s="20" t="str">
        <x:v>5C</x:v>
      </x:c>
      <x:c r="E79" s="20" t="str">
        <x:v>quantifiers; too; (not) enough</x:v>
      </x:c>
      <x:c r="F79" s="20" t="str">
        <x:v>Direct</x:v>
      </x:c>
      <x:c r="G79" s="20" t="str">
        <x:v>Quantifiers: Too and Enough Mastery</x:v>
      </x:c>
      <x:c r="H79" s="20" t="str">
        <x:v>a2, b1</x:v>
      </x:c>
      <x:c r="I79" s="20" t="str"/>
      <x:c r="J79" s="20" t="str">
        <x:v>Covered</x:v>
      </x:c>
      <x:c r="K79" s="53" t="str">
        <x:v>https://studylib.net/doc/27609549/english-file-4th-edition-pre-intermediate-tg-internationa...</x:v>
      </x:c>
    </x:row>
    <x:row r="80">
      <x:c r="A80" s="20" t="str">
        <x:v>Pre-Intermediate</x:v>
      </x:c>
      <x:c r="B80" s="20" t="str">
        <x:v>A2-B1</x:v>
      </x:c>
      <x:c r="C80" s="20" t="n">
        <x:v>6</x:v>
      </x:c>
      <x:c r="D80" s="20" t="str">
        <x:v>6A</x:v>
      </x:c>
      <x:c r="E80" s="20" t="str">
        <x:v>will / won't: predictions</x:v>
      </x:c>
      <x:c r="F80" s="20" t="str">
        <x:v>Direct</x:v>
      </x:c>
      <x:c r="G80" s="20" t="str">
        <x:v>Future Predictions: Will and Won't</x:v>
      </x:c>
      <x:c r="H80" s="20" t="str">
        <x:v>a2, b1</x:v>
      </x:c>
      <x:c r="I80" s="20" t="str"/>
      <x:c r="J80" s="20" t="str">
        <x:v>Covered</x:v>
      </x:c>
      <x:c r="K80" s="53" t="str">
        <x:v>https://studylib.net/doc/27609549/english-file-4th-edition-pre-intermediate-tg-internationa...</x:v>
      </x:c>
    </x:row>
    <x:row r="81">
      <x:c r="A81" s="20" t="str">
        <x:v>Pre-Intermediate</x:v>
      </x:c>
      <x:c r="B81" s="20" t="str">
        <x:v>A2-B1</x:v>
      </x:c>
      <x:c r="C81" s="20" t="n">
        <x:v>6</x:v>
      </x:c>
      <x:c r="D81" s="20" t="str">
        <x:v>6B</x:v>
      </x:c>
      <x:c r="E81" s="20" t="str">
        <x:v>will / won't / shall: other uses</x:v>
      </x:c>
      <x:c r="F81" s="20" t="str">
        <x:v>Direct</x:v>
      </x:c>
      <x:c r="G81" s="20" t="str">
        <x:v>Will and Shall: Decisions and Offers</x:v>
      </x:c>
      <x:c r="H81" s="20" t="str">
        <x:v>a2, b1</x:v>
      </x:c>
      <x:c r="I81" s="20" t="str"/>
      <x:c r="J81" s="20" t="str">
        <x:v>Covered</x:v>
      </x:c>
      <x:c r="K81" s="53" t="str">
        <x:v>https://studylib.net/doc/27609549/english-file-4th-edition-pre-intermediate-tg-internationa...</x:v>
      </x:c>
    </x:row>
    <x:row r="82">
      <x:c r="A82" s="20" t="str">
        <x:v>Pre-Intermediate</x:v>
      </x:c>
      <x:c r="B82" s="20" t="str">
        <x:v>A2-B1</x:v>
      </x:c>
      <x:c r="C82" s="20" t="n">
        <x:v>6</x:v>
      </x:c>
      <x:c r="D82" s="20" t="str">
        <x:v>6C</x:v>
      </x:c>
      <x:c r="E82" s="20" t="str">
        <x:v>review of verb forms: present, past, future</x:v>
      </x:c>
      <x:c r="F82" s="20" t="str">
        <x:v>Direct</x:v>
      </x:c>
      <x:c r="G82" s="20" t="str">
        <x:v>The Big Verb Review</x:v>
      </x:c>
      <x:c r="H82" s="20" t="str">
        <x:v>a2, b1</x:v>
      </x:c>
      <x:c r="I82" s="20" t="str"/>
      <x:c r="J82" s="20" t="str">
        <x:v>Covered</x:v>
      </x:c>
      <x:c r="K82" s="53" t="str">
        <x:v>https://studylib.net/doc/27609549/english-file-4th-edition-pre-intermediate-tg-internationa...</x:v>
      </x:c>
    </x:row>
    <x:row r="83">
      <x:c r="A83" s="20" t="str">
        <x:v>Pre-Intermediate</x:v>
      </x:c>
      <x:c r="B83" s="20" t="str">
        <x:v>A2-B1</x:v>
      </x:c>
      <x:c r="C83" s="20" t="n">
        <x:v>7</x:v>
      </x:c>
      <x:c r="D83" s="20" t="str">
        <x:v>7A</x:v>
      </x:c>
      <x:c r="E83" s="20" t="str">
        <x:v>uses of the infinitive with to</x:v>
      </x:c>
      <x:c r="F83" s="20" t="str">
        <x:v>Direct</x:v>
      </x:c>
      <x:c r="G83" s="20" t="str">
        <x:v>Gerunds and Infinitives Review</x:v>
      </x:c>
      <x:c r="H83" s="20" t="str">
        <x:v>a2, b1</x:v>
      </x:c>
      <x:c r="I83" s="20" t="str"/>
      <x:c r="J83" s="20" t="str">
        <x:v>Covered</x:v>
      </x:c>
      <x:c r="K83" s="53" t="str">
        <x:v>https://studylib.net/doc/27609549/english-file-4th-edition-pre-intermediate-tg-internationa...</x:v>
      </x:c>
    </x:row>
    <x:row r="84">
      <x:c r="A84" s="20" t="str">
        <x:v>Pre-Intermediate</x:v>
      </x:c>
      <x:c r="B84" s="20" t="str">
        <x:v>A2-B1</x:v>
      </x:c>
      <x:c r="C84" s="20" t="n">
        <x:v>7</x:v>
      </x:c>
      <x:c r="D84" s="20" t="str">
        <x:v>7B</x:v>
      </x:c>
      <x:c r="E84" s="20" t="str">
        <x:v>uses of the gerund</x:v>
      </x:c>
      <x:c r="F84" s="20" t="str">
        <x:v>Direct</x:v>
      </x:c>
      <x:c r="G84" s="20" t="str">
        <x:v>Gerunds and Infinitives Review</x:v>
      </x:c>
      <x:c r="H84" s="20" t="str">
        <x:v>a2, b1</x:v>
      </x:c>
      <x:c r="I84" s="20" t="str"/>
      <x:c r="J84" s="20" t="str">
        <x:v>Covered</x:v>
      </x:c>
      <x:c r="K84" s="53" t="str">
        <x:v>https://studylib.net/doc/27609549/english-file-4th-edition-pre-intermediate-tg-internationa...</x:v>
      </x:c>
    </x:row>
    <x:row r="85">
      <x:c r="A85" s="20" t="str">
        <x:v>Pre-Intermediate</x:v>
      </x:c>
      <x:c r="B85" s="20" t="str">
        <x:v>A2-B1</x:v>
      </x:c>
      <x:c r="C85" s="20" t="n">
        <x:v>7</x:v>
      </x:c>
      <x:c r="D85" s="20" t="str">
        <x:v>7C</x:v>
      </x:c>
      <x:c r="E85" s="20" t="str">
        <x:v>have to / don't have to / must / mustn't</x:v>
      </x:c>
      <x:c r="F85" s="20" t="str">
        <x:v>Direct</x:v>
      </x:c>
      <x:c r="G85" s="20" t="str">
        <x:v>Obligation and Prohibition: Must and Have to</x:v>
      </x:c>
      <x:c r="H85" s="20" t="str">
        <x:v>a2, b1</x:v>
      </x:c>
      <x:c r="I85" s="20" t="str"/>
      <x:c r="J85" s="20" t="str">
        <x:v>Covered</x:v>
      </x:c>
      <x:c r="K85" s="53" t="str">
        <x:v>https://studylib.net/doc/27609549/english-file-4th-edition-pre-intermediate-tg-internationa...</x:v>
      </x:c>
    </x:row>
    <x:row r="86">
      <x:c r="A86" s="20" t="str">
        <x:v>Pre-Intermediate</x:v>
      </x:c>
      <x:c r="B86" s="20" t="str">
        <x:v>A2-B1</x:v>
      </x:c>
      <x:c r="C86" s="20" t="n">
        <x:v>8</x:v>
      </x:c>
      <x:c r="D86" s="20" t="str">
        <x:v>8A</x:v>
      </x:c>
      <x:c r="E86" s="20" t="str">
        <x:v>should</x:v>
      </x:c>
      <x:c r="F86" s="20" t="str">
        <x:v>Direct</x:v>
      </x:c>
      <x:c r="G86" s="20" t="str">
        <x:v>Giving Advice: Should and Shouldn't</x:v>
      </x:c>
      <x:c r="H86" s="20" t="str">
        <x:v>a2, b1</x:v>
      </x:c>
      <x:c r="I86" s="20" t="str"/>
      <x:c r="J86" s="20" t="str">
        <x:v>Covered</x:v>
      </x:c>
      <x:c r="K86" s="53" t="str">
        <x:v>https://studylib.net/doc/27609549/english-file-4th-edition-pre-intermediate-tg-internationa...</x:v>
      </x:c>
    </x:row>
    <x:row r="87">
      <x:c r="A87" s="20" t="str">
        <x:v>Pre-Intermediate</x:v>
      </x:c>
      <x:c r="B87" s="20" t="str">
        <x:v>A2-B1</x:v>
      </x:c>
      <x:c r="C87" s="20" t="n">
        <x:v>8</x:v>
      </x:c>
      <x:c r="D87" s="20" t="str">
        <x:v>8B</x:v>
      </x:c>
      <x:c r="E87" s="20" t="str">
        <x:v>first conditional</x:v>
      </x:c>
      <x:c r="F87" s="20" t="str">
        <x:v>Direct</x:v>
      </x:c>
      <x:c r="G87" s="20" t="str">
        <x:v>First Conditional: Future Possibilities</x:v>
      </x:c>
      <x:c r="H87" s="20" t="str">
        <x:v>a2, b1</x:v>
      </x:c>
      <x:c r="I87" s="20" t="str"/>
      <x:c r="J87" s="20" t="str">
        <x:v>Covered</x:v>
      </x:c>
      <x:c r="K87" s="53" t="str">
        <x:v>https://studylib.net/doc/27609549/english-file-4th-edition-pre-intermediate-tg-internationa...</x:v>
      </x:c>
    </x:row>
    <x:row r="88">
      <x:c r="A88" s="20" t="str">
        <x:v>Pre-Intermediate</x:v>
      </x:c>
      <x:c r="B88" s="20" t="str">
        <x:v>A2-B1</x:v>
      </x:c>
      <x:c r="C88" s="20" t="n">
        <x:v>8</x:v>
      </x:c>
      <x:c r="D88" s="20" t="str">
        <x:v>8C</x:v>
      </x:c>
      <x:c r="E88" s="20" t="str">
        <x:v>possessive pronouns</x:v>
      </x:c>
      <x:c r="F88" s="20" t="str">
        <x:v>Direct</x:v>
      </x:c>
      <x:c r="G88" s="20" t="str">
        <x:v>Possessive Pronouns and Adjectives</x:v>
      </x:c>
      <x:c r="H88" s="20" t="str">
        <x:v>a2, b1</x:v>
      </x:c>
      <x:c r="I88" s="20" t="str"/>
      <x:c r="J88" s="20" t="str">
        <x:v>Covered</x:v>
      </x:c>
      <x:c r="K88" s="53" t="str">
        <x:v>https://studylib.net/doc/27609549/english-file-4th-edition-pre-intermediate-tg-internationa...</x:v>
      </x:c>
    </x:row>
    <x:row r="89">
      <x:c r="A89" s="20" t="str">
        <x:v>Pre-Intermediate</x:v>
      </x:c>
      <x:c r="B89" s="20" t="str">
        <x:v>A2-B1</x:v>
      </x:c>
      <x:c r="C89" s="20" t="n">
        <x:v>9</x:v>
      </x:c>
      <x:c r="D89" s="20" t="str">
        <x:v>9A</x:v>
      </x:c>
      <x:c r="E89" s="20" t="str">
        <x:v>second conditional</x:v>
      </x:c>
      <x:c r="F89" s="20" t="str">
        <x:v>Direct</x:v>
      </x:c>
      <x:c r="G89" s="20" t="str">
        <x:v>Second Conditional: Dreams and Hypotheses | Second Conditional Reformulation</x:v>
      </x:c>
      <x:c r="H89" s="20" t="str">
        <x:v>a2, b1, b2</x:v>
      </x:c>
      <x:c r="I89" s="20" t="str"/>
      <x:c r="J89" s="20" t="str">
        <x:v>Covered</x:v>
      </x:c>
      <x:c r="K89" s="53" t="str">
        <x:v>https://studylib.net/doc/27609549/english-file-4th-edition-pre-intermediate-tg-internationa...</x:v>
      </x:c>
    </x:row>
    <x:row r="90">
      <x:c r="A90" s="20" t="str">
        <x:v>Pre-Intermediate</x:v>
      </x:c>
      <x:c r="B90" s="20" t="str">
        <x:v>A2-B1</x:v>
      </x:c>
      <x:c r="C90" s="20" t="n">
        <x:v>9</x:v>
      </x:c>
      <x:c r="D90" s="20" t="str">
        <x:v>9B</x:v>
      </x:c>
      <x:c r="E90" s="20" t="str">
        <x:v>present perfect + for and since</x:v>
      </x:c>
      <x:c r="F90" s="20" t="str">
        <x:v>Direct</x:v>
      </x:c>
      <x:c r="G90" s="20" t="str">
        <x:v>Present Perfect: For and Since</x:v>
      </x:c>
      <x:c r="H90" s="20" t="str">
        <x:v>a2, b1</x:v>
      </x:c>
      <x:c r="I90" s="20" t="str"/>
      <x:c r="J90" s="20" t="str">
        <x:v>Covered</x:v>
      </x:c>
      <x:c r="K90" s="53" t="str">
        <x:v>https://studylib.net/doc/27609549/english-file-4th-edition-pre-intermediate-tg-internationa...</x:v>
      </x:c>
    </x:row>
    <x:row r="91">
      <x:c r="A91" s="20" t="str">
        <x:v>Pre-Intermediate</x:v>
      </x:c>
      <x:c r="B91" s="20" t="str">
        <x:v>A2-B1</x:v>
      </x:c>
      <x:c r="C91" s="20" t="n">
        <x:v>9</x:v>
      </x:c>
      <x:c r="D91" s="20" t="str">
        <x:v>9C</x:v>
      </x:c>
      <x:c r="E91" s="20" t="str">
        <x:v>present perfect or past simple (2)</x:v>
      </x:c>
      <x:c r="F91" s="20" t="str">
        <x:v>Direct</x:v>
      </x:c>
      <x:c r="G91" s="20" t="str">
        <x:v>Present Perfect or Past Simple?</x:v>
      </x:c>
      <x:c r="H91" s="20" t="str">
        <x:v>a2, b1</x:v>
      </x:c>
      <x:c r="I91" s="20" t="str"/>
      <x:c r="J91" s="20" t="str">
        <x:v>Covered</x:v>
      </x:c>
      <x:c r="K91" s="53" t="str">
        <x:v>https://studylib.net/doc/27609549/english-file-4th-edition-pre-intermediate-tg-internationa...</x:v>
      </x:c>
    </x:row>
    <x:row r="92">
      <x:c r="A92" s="20" t="str">
        <x:v>Pre-Intermediate</x:v>
      </x:c>
      <x:c r="B92" s="20" t="str">
        <x:v>A2-B1</x:v>
      </x:c>
      <x:c r="C92" s="20" t="n">
        <x:v>10</x:v>
      </x:c>
      <x:c r="D92" s="20" t="str">
        <x:v>10A</x:v>
      </x:c>
      <x:c r="E92" s="20" t="str">
        <x:v>expressing movement</x:v>
      </x:c>
      <x:c r="F92" s="20" t="str">
        <x:v>Direct</x:v>
      </x:c>
      <x:c r="G92" s="20" t="str">
        <x:v>Expressing Movement</x:v>
      </x:c>
      <x:c r="H92" s="20" t="str">
        <x:v>a2, b1</x:v>
      </x:c>
      <x:c r="I92" s="20" t="str"/>
      <x:c r="J92" s="20" t="str">
        <x:v>Covered</x:v>
      </x:c>
      <x:c r="K92" s="53" t="str">
        <x:v>https://studylib.net/doc/27609549/english-file-4th-edition-pre-intermediate-tg-internationa...</x:v>
      </x:c>
    </x:row>
    <x:row r="93">
      <x:c r="A93" s="20" t="str">
        <x:v>Pre-Intermediate</x:v>
      </x:c>
      <x:c r="B93" s="20" t="str">
        <x:v>A2-B1</x:v>
      </x:c>
      <x:c r="C93" s="20" t="n">
        <x:v>10</x:v>
      </x:c>
      <x:c r="D93" s="20" t="str">
        <x:v>10B</x:v>
      </x:c>
      <x:c r="E93" s="20" t="str">
        <x:v>word order of phrasal verbs</x:v>
      </x:c>
      <x:c r="F93" s="20" t="str">
        <x:v>Direct</x:v>
      </x:c>
      <x:c r="G93" s="20" t="str">
        <x:v>Phrasal Verbs: Word Order Mastery</x:v>
      </x:c>
      <x:c r="H93" s="20" t="str">
        <x:v>a2, b1</x:v>
      </x:c>
      <x:c r="I93" s="20" t="str"/>
      <x:c r="J93" s="20" t="str">
        <x:v>Covered</x:v>
      </x:c>
      <x:c r="K93" s="53" t="str">
        <x:v>https://studylib.net/doc/27609549/english-file-4th-edition-pre-intermediate-tg-internationa...</x:v>
      </x:c>
    </x:row>
    <x:row r="94">
      <x:c r="A94" s="20" t="str">
        <x:v>Pre-Intermediate</x:v>
      </x:c>
      <x:c r="B94" s="20" t="str">
        <x:v>A2-B1</x:v>
      </x:c>
      <x:c r="C94" s="20" t="n">
        <x:v>10</x:v>
      </x:c>
      <x:c r="D94" s="20" t="str">
        <x:v>10C</x:v>
      </x:c>
      <x:c r="E94" s="20" t="str">
        <x:v>the passive</x:v>
      </x:c>
      <x:c r="F94" s="20" t="str">
        <x:v>Direct</x:v>
      </x:c>
      <x:c r="G94" s="20" t="str">
        <x:v>The Passive: Focus and Form</x:v>
      </x:c>
      <x:c r="H94" s="20" t="str">
        <x:v>a2, b1</x:v>
      </x:c>
      <x:c r="I94" s="20" t="str"/>
      <x:c r="J94" s="20" t="str">
        <x:v>Covered</x:v>
      </x:c>
      <x:c r="K94" s="53" t="str">
        <x:v>https://studylib.net/doc/27609549/english-file-4th-edition-pre-intermediate-tg-internationa...</x:v>
      </x:c>
    </x:row>
    <x:row r="95">
      <x:c r="A95" s="20" t="str">
        <x:v>Pre-Intermediate</x:v>
      </x:c>
      <x:c r="B95" s="20" t="str">
        <x:v>A2-B1</x:v>
      </x:c>
      <x:c r="C95" s="20" t="n">
        <x:v>11</x:v>
      </x:c>
      <x:c r="D95" s="20" t="str">
        <x:v>11A</x:v>
      </x:c>
      <x:c r="E95" s="20" t="str">
        <x:v>used to</x:v>
      </x:c>
      <x:c r="F95" s="20" t="str">
        <x:v>Direct</x:v>
      </x:c>
      <x:c r="G95" s="20" t="str">
        <x:v>Habits: used to and usually</x:v>
      </x:c>
      <x:c r="H95" s="20" t="str">
        <x:v>a2, b1</x:v>
      </x:c>
      <x:c r="I95" s="20" t="str"/>
      <x:c r="J95" s="20" t="str">
        <x:v>Covered</x:v>
      </x:c>
      <x:c r="K95" s="53" t="str">
        <x:v>https://studylib.net/doc/27609549/english-file-4th-edition-pre-intermediate-tg-internationa...</x:v>
      </x:c>
    </x:row>
    <x:row r="96">
      <x:c r="A96" s="20" t="str">
        <x:v>Pre-Intermediate</x:v>
      </x:c>
      <x:c r="B96" s="20" t="str">
        <x:v>A2-B1</x:v>
      </x:c>
      <x:c r="C96" s="20" t="n">
        <x:v>11</x:v>
      </x:c>
      <x:c r="D96" s="20" t="str">
        <x:v>11B</x:v>
      </x:c>
      <x:c r="E96" s="20" t="str">
        <x:v>might</x:v>
      </x:c>
      <x:c r="F96" s="20" t="str">
        <x:v>Direct</x:v>
      </x:c>
      <x:c r="G96" s="20" t="str">
        <x:v>Possibility: might and might not</x:v>
      </x:c>
      <x:c r="H96" s="20" t="str">
        <x:v>a2, b1</x:v>
      </x:c>
      <x:c r="I96" s="20" t="str"/>
      <x:c r="J96" s="20" t="str">
        <x:v>Covered</x:v>
      </x:c>
      <x:c r="K96" s="53" t="str">
        <x:v>https://studylib.net/doc/27609549/english-file-4th-edition-pre-intermediate-tg-internationa...</x:v>
      </x:c>
    </x:row>
    <x:row r="97">
      <x:c r="A97" s="20" t="str">
        <x:v>Pre-Intermediate</x:v>
      </x:c>
      <x:c r="B97" s="20" t="str">
        <x:v>A2-B1</x:v>
      </x:c>
      <x:c r="C97" s="20" t="n">
        <x:v>11</x:v>
      </x:c>
      <x:c r="D97" s="20" t="str">
        <x:v>11C</x:v>
      </x:c>
      <x:c r="E97" s="20" t="str">
        <x:v>so / neither + auxiliaries</x:v>
      </x:c>
      <x:c r="F97" s="20" t="str">
        <x:v>Direct</x:v>
      </x:c>
      <x:c r="G97" s="20" t="str">
        <x:v>Agreements: So and Neither</x:v>
      </x:c>
      <x:c r="H97" s="20" t="str">
        <x:v>a2, b1</x:v>
      </x:c>
      <x:c r="I97" s="20" t="str"/>
      <x:c r="J97" s="20" t="str">
        <x:v>Covered</x:v>
      </x:c>
      <x:c r="K97" s="53" t="str">
        <x:v>https://studylib.net/doc/27609549/english-file-4th-edition-pre-intermediate-tg-internationa...</x:v>
      </x:c>
    </x:row>
    <x:row r="98">
      <x:c r="A98" s="20" t="str">
        <x:v>Pre-Intermediate</x:v>
      </x:c>
      <x:c r="B98" s="20" t="str">
        <x:v>A2-B1</x:v>
      </x:c>
      <x:c r="C98" s="20" t="n">
        <x:v>12</x:v>
      </x:c>
      <x:c r="D98" s="20" t="str">
        <x:v>12A</x:v>
      </x:c>
      <x:c r="E98" s="20" t="str">
        <x:v>past perfect</x:v>
      </x:c>
      <x:c r="F98" s="20" t="str">
        <x:v>Direct</x:v>
      </x:c>
      <x:c r="G98" s="20" t="str">
        <x:v>The Past Perfect: Logic &amp; Form</x:v>
      </x:c>
      <x:c r="H98" s="20" t="str">
        <x:v>a2, b1</x:v>
      </x:c>
      <x:c r="I98" s="20" t="str"/>
      <x:c r="J98" s="20" t="str">
        <x:v>Covered</x:v>
      </x:c>
      <x:c r="K98" s="53" t="str">
        <x:v>https://studylib.net/doc/27609549/english-file-4th-edition-pre-intermediate-tg-internationa...</x:v>
      </x:c>
    </x:row>
    <x:row r="99">
      <x:c r="A99" s="20" t="str">
        <x:v>Pre-Intermediate</x:v>
      </x:c>
      <x:c r="B99" s="20" t="str">
        <x:v>A2-B1</x:v>
      </x:c>
      <x:c r="C99" s="20" t="n">
        <x:v>12</x:v>
      </x:c>
      <x:c r="D99" s="20" t="str">
        <x:v>12B</x:v>
      </x:c>
      <x:c r="E99" s="20" t="str">
        <x:v>reported speech</x:v>
      </x:c>
      <x:c r="F99" s="20" t="str">
        <x:v>Direct</x:v>
      </x:c>
      <x:c r="G99" s="20" t="str">
        <x:v>Reported Speech: Backshift &amp; Form</x:v>
      </x:c>
      <x:c r="H99" s="20" t="str">
        <x:v>a2, b1</x:v>
      </x:c>
      <x:c r="I99" s="20" t="str"/>
      <x:c r="J99" s="20" t="str">
        <x:v>Covered</x:v>
      </x:c>
      <x:c r="K99" s="53" t="str">
        <x:v>https://studylib.net/doc/27609549/english-file-4th-edition-pre-intermediate-tg-internationa...</x:v>
      </x:c>
    </x:row>
    <x:row r="100">
      <x:c r="A100" s="20" t="str">
        <x:v>Pre-Intermediate</x:v>
      </x:c>
      <x:c r="B100" s="20" t="str">
        <x:v>A2-B1</x:v>
      </x:c>
      <x:c r="C100" s="20" t="n">
        <x:v>12</x:v>
      </x:c>
      <x:c r="D100" s="20" t="str">
        <x:v>12C</x:v>
      </x:c>
      <x:c r="E100" s="20" t="str">
        <x:v>questions without auxiliaries</x:v>
      </x:c>
      <x:c r="F100" s="20" t="str">
        <x:v>Direct</x:v>
      </x:c>
      <x:c r="G100" s="20" t="str">
        <x:v>Questions without auxiliaries</x:v>
      </x:c>
      <x:c r="H100" s="20" t="str">
        <x:v>a2, b1</x:v>
      </x:c>
      <x:c r="I100" s="20" t="str"/>
      <x:c r="J100" s="20" t="str">
        <x:v>Covered</x:v>
      </x:c>
      <x:c r="K100" s="53" t="str">
        <x:v>https://studylib.net/doc/27609549/english-file-4th-edition-pre-intermediate-tg-internationa...</x:v>
      </x:c>
    </x:row>
    <x:row r="101">
      <x:c r="A101" s="20" t="str">
        <x:v>Intermediate</x:v>
      </x:c>
      <x:c r="B101" s="20" t="str">
        <x:v>B1</x:v>
      </x:c>
      <x:c r="C101" s="20" t="n">
        <x:v>1</x:v>
      </x:c>
      <x:c r="D101" s="20" t="str">
        <x:v>1A</x:v>
      </x:c>
      <x:c r="E101" s="20" t="str">
        <x:v>present simple and continuous; action and non-action verbs</x:v>
      </x:c>
      <x:c r="F101" s="20" t="str">
        <x:v>Direct</x:v>
      </x:c>
      <x:c r="G101" s="20" t="str">
        <x:v>Present Simple or Continuous</x:v>
      </x:c>
      <x:c r="H101" s="20" t="str">
        <x:v>b1</x:v>
      </x:c>
      <x:c r="I101" s="20" t="str"/>
      <x:c r="J101" s="20" t="str">
        <x:v>Covered</x:v>
      </x:c>
      <x:c r="K101" s="53" t="str">
        <x:v>https://theenglishfarm.com/sites/default/files/english_file_intermediate_sample_pages.pdf</x:v>
      </x:c>
    </x:row>
    <x:row r="102">
      <x:c r="A102" s="20" t="str">
        <x:v>Intermediate</x:v>
      </x:c>
      <x:c r="B102" s="20" t="str">
        <x:v>B1</x:v>
      </x:c>
      <x:c r="C102" s="20" t="n">
        <x:v>1</x:v>
      </x:c>
      <x:c r="D102" s="20" t="str">
        <x:v>1B</x:v>
      </x:c>
      <x:c r="E102" s="20" t="str">
        <x:v>future forms: present continuous, be going to, will / won't</x:v>
      </x:c>
      <x:c r="F102" s="20" t="str">
        <x:v>Direct</x:v>
      </x:c>
      <x:c r="G102" s="20" t="str">
        <x:v>Future Forms</x:v>
      </x:c>
      <x:c r="H102" s="20" t="str">
        <x:v>b1</x:v>
      </x:c>
      <x:c r="I102" s="20" t="str"/>
      <x:c r="J102" s="20" t="str">
        <x:v>Covered</x:v>
      </x:c>
      <x:c r="K102" s="53" t="str">
        <x:v>https://theenglishfarm.com/sites/default/files/english_file_intermediate_sample_pages.pdf</x:v>
      </x:c>
    </x:row>
    <x:row r="103">
      <x:c r="A103" s="20" t="str">
        <x:v>Intermediate</x:v>
      </x:c>
      <x:c r="B103" s="20" t="str">
        <x:v>B1</x:v>
      </x:c>
      <x:c r="C103" s="20" t="n">
        <x:v>2</x:v>
      </x:c>
      <x:c r="D103" s="20" t="str">
        <x:v>2A</x:v>
      </x:c>
      <x:c r="E103" s="20" t="str">
        <x:v>present perfect and past simple</x:v>
      </x:c>
      <x:c r="F103" s="20" t="str">
        <x:v>Direct</x:v>
      </x:c>
      <x:c r="G103" s="20" t="str">
        <x:v>Present Perfect or Past Simple | Present Perfect or Past Simple?</x:v>
      </x:c>
      <x:c r="H103" s="20" t="str">
        <x:v>b1, a2</x:v>
      </x:c>
      <x:c r="I103" s="20" t="str"/>
      <x:c r="J103" s="20" t="str">
        <x:v>Covered</x:v>
      </x:c>
      <x:c r="K103" s="53" t="str">
        <x:v>https://theenglishfarm.com/sites/default/files/english_file_intermediate_sample_pages.pdf</x:v>
      </x:c>
    </x:row>
    <x:row r="104">
      <x:c r="A104" s="20" t="str">
        <x:v>Intermediate</x:v>
      </x:c>
      <x:c r="B104" s="20" t="str">
        <x:v>B1</x:v>
      </x:c>
      <x:c r="C104" s="20" t="n">
        <x:v>2</x:v>
      </x:c>
      <x:c r="D104" s="20" t="str">
        <x:v>2B</x:v>
      </x:c>
      <x:c r="E104" s="20" t="str">
        <x:v>present perfect + for / since; present perfect continuous</x:v>
      </x:c>
      <x:c r="F104" s="20" t="str">
        <x:v>Direct</x:v>
      </x:c>
      <x:c r="G104" s="20" t="str">
        <x:v>Present Perfect: For and Since | Present Perfect Simple or Continuous</x:v>
      </x:c>
      <x:c r="H104" s="20" t="str">
        <x:v>a2, b1, b2</x:v>
      </x:c>
      <x:c r="I104" s="20" t="str"/>
      <x:c r="J104" s="20" t="str">
        <x:v>Covered</x:v>
      </x:c>
      <x:c r="K104" s="53" t="str">
        <x:v>https://theenglishfarm.com/sites/default/files/english_file_intermediate_sample_pages.pdf</x:v>
      </x:c>
    </x:row>
    <x:row r="105">
      <x:c r="A105" s="20" t="str">
        <x:v>Intermediate</x:v>
      </x:c>
      <x:c r="B105" s="20" t="str">
        <x:v>B1</x:v>
      </x:c>
      <x:c r="C105" s="20" t="n">
        <x:v>3</x:v>
      </x:c>
      <x:c r="D105" s="20" t="str">
        <x:v>3A</x:v>
      </x:c>
      <x:c r="E105" s="20" t="str">
        <x:v>choosing between comparatives and superlatives</x:v>
      </x:c>
      <x:c r="F105" s="20" t="str">
        <x:v>Direct</x:v>
      </x:c>
      <x:c r="G105" s="20" t="str">
        <x:v>Comparatives and Superlatives</x:v>
      </x:c>
      <x:c r="H105" s="20" t="str">
        <x:v>b1</x:v>
      </x:c>
      <x:c r="I105" s="20" t="str"/>
      <x:c r="J105" s="20" t="str">
        <x:v>Covered</x:v>
      </x:c>
      <x:c r="K105" s="53" t="str">
        <x:v>https://theenglishfarm.com/sites/default/files/english_file_intermediate_sample_pages.pdf</x:v>
      </x:c>
    </x:row>
    <x:row r="106">
      <x:c r="A106" s="20" t="str">
        <x:v>Intermediate</x:v>
      </x:c>
      <x:c r="B106" s="20" t="str">
        <x:v>B1</x:v>
      </x:c>
      <x:c r="C106" s="20" t="n">
        <x:v>3</x:v>
      </x:c>
      <x:c r="D106" s="20" t="str">
        <x:v>3B</x:v>
      </x:c>
      <x:c r="E106" s="20" t="str">
        <x:v>articles: a / an, the, no article</x:v>
      </x:c>
      <x:c r="F106" s="20" t="str">
        <x:v>Direct</x:v>
      </x:c>
      <x:c r="G106" s="20" t="str">
        <x:v>Articles</x:v>
      </x:c>
      <x:c r="H106" s="20" t="str">
        <x:v>b1</x:v>
      </x:c>
      <x:c r="I106" s="20" t="str"/>
      <x:c r="J106" s="20" t="str">
        <x:v>Covered</x:v>
      </x:c>
      <x:c r="K106" s="53" t="str">
        <x:v>https://theenglishfarm.com/sites/default/files/english_file_intermediate_sample_pages.pdf</x:v>
      </x:c>
    </x:row>
    <x:row r="107">
      <x:c r="A107" s="20" t="str">
        <x:v>Intermediate</x:v>
      </x:c>
      <x:c r="B107" s="20" t="str">
        <x:v>B1</x:v>
      </x:c>
      <x:c r="C107" s="20" t="n">
        <x:v>4</x:v>
      </x:c>
      <x:c r="D107" s="20" t="str">
        <x:v>4A</x:v>
      </x:c>
      <x:c r="E107" s="20" t="str">
        <x:v>obligation and prohibition: have to, must, should</x:v>
      </x:c>
      <x:c r="F107" s="20" t="str">
        <x:v>Direct</x:v>
      </x:c>
      <x:c r="G107" s="20" t="str">
        <x:v>Modals: Obligation and Prohibition</x:v>
      </x:c>
      <x:c r="H107" s="20" t="str">
        <x:v>b1</x:v>
      </x:c>
      <x:c r="I107" s="20" t="str"/>
      <x:c r="J107" s="20" t="str">
        <x:v>Covered</x:v>
      </x:c>
      <x:c r="K107" s="53" t="str">
        <x:v>https://theenglishfarm.com/sites/default/files/english_file_intermediate_sample_pages.pdf</x:v>
      </x:c>
    </x:row>
    <x:row r="108">
      <x:c r="A108" s="20" t="str">
        <x:v>Intermediate</x:v>
      </x:c>
      <x:c r="B108" s="20" t="str">
        <x:v>B1</x:v>
      </x:c>
      <x:c r="C108" s="20" t="n">
        <x:v>4</x:v>
      </x:c>
      <x:c r="D108" s="20" t="str">
        <x:v>4B</x:v>
      </x:c>
      <x:c r="E108" s="20" t="str">
        <x:v>ability and possibility: can, could, be able to</x:v>
      </x:c>
      <x:c r="F108" s="20" t="str">
        <x:v>Direct</x:v>
      </x:c>
      <x:c r="G108" s="20" t="str">
        <x:v>Ability: Can, Could, or Be Able To?</x:v>
      </x:c>
      <x:c r="H108" s="20" t="str">
        <x:v>b1</x:v>
      </x:c>
      <x:c r="I108" s="20" t="str"/>
      <x:c r="J108" s="20" t="str">
        <x:v>Covered</x:v>
      </x:c>
      <x:c r="K108" s="53" t="str">
        <x:v>https://theenglishfarm.com/sites/default/files/english_file_intermediate_sample_pages.pdf</x:v>
      </x:c>
    </x:row>
    <x:row r="109">
      <x:c r="A109" s="20" t="str">
        <x:v>Intermediate</x:v>
      </x:c>
      <x:c r="B109" s="20" t="str">
        <x:v>B1</x:v>
      </x:c>
      <x:c r="C109" s="20" t="n">
        <x:v>5</x:v>
      </x:c>
      <x:c r="D109" s="20" t="str">
        <x:v>5A</x:v>
      </x:c>
      <x:c r="E109" s="20" t="str">
        <x:v>past tenses: simple, continuous, perfect</x:v>
      </x:c>
      <x:c r="F109" s="20" t="str">
        <x:v>Direct</x:v>
      </x:c>
      <x:c r="G109" s="20" t="str">
        <x:v>Past and Narrative Tenses</x:v>
      </x:c>
      <x:c r="H109" s="20" t="str">
        <x:v>b1</x:v>
      </x:c>
      <x:c r="I109" s="20" t="str"/>
      <x:c r="J109" s="20" t="str">
        <x:v>Covered</x:v>
      </x:c>
      <x:c r="K109" s="53" t="str">
        <x:v>https://theenglishfarm.com/sites/default/files/english_file_intermediate_sample_pages.pdf</x:v>
      </x:c>
    </x:row>
    <x:row r="110">
      <x:c r="A110" s="20" t="str">
        <x:v>Intermediate</x:v>
      </x:c>
      <x:c r="B110" s="20" t="str">
        <x:v>B1</x:v>
      </x:c>
      <x:c r="C110" s="20" t="n">
        <x:v>5</x:v>
      </x:c>
      <x:c r="D110" s="20" t="str">
        <x:v>5B</x:v>
      </x:c>
      <x:c r="E110" s="20" t="str">
        <x:v>past and present habits and states</x:v>
      </x:c>
      <x:c r="F110" s="20" t="str">
        <x:v>Direct</x:v>
      </x:c>
      <x:c r="G110" s="20" t="str">
        <x:v>Habits and States: Used to &amp; Usually</x:v>
      </x:c>
      <x:c r="H110" s="20" t="str">
        <x:v>b1</x:v>
      </x:c>
      <x:c r="I110" s="20" t="str"/>
      <x:c r="J110" s="20" t="str">
        <x:v>Covered</x:v>
      </x:c>
      <x:c r="K110" s="53" t="str">
        <x:v>https://theenglishfarm.com/sites/default/files/english_file_intermediate_sample_pages.pdf</x:v>
      </x:c>
    </x:row>
    <x:row r="111">
      <x:c r="A111" s="20" t="str">
        <x:v>Intermediate</x:v>
      </x:c>
      <x:c r="B111" s="20" t="str">
        <x:v>B1</x:v>
      </x:c>
      <x:c r="C111" s="20" t="n">
        <x:v>6</x:v>
      </x:c>
      <x:c r="D111" s="20" t="str">
        <x:v>6A</x:v>
      </x:c>
      <x:c r="E111" s="20" t="str">
        <x:v>passive: all tenses</x:v>
      </x:c>
      <x:c r="F111" s="20" t="str">
        <x:v>Direct</x:v>
      </x:c>
      <x:c r="G111" s="20" t="str">
        <x:v>Passive Voice Reformulation</x:v>
      </x:c>
      <x:c r="H111" s="20" t="str">
        <x:v>b1, b2</x:v>
      </x:c>
      <x:c r="I111" s="20" t="str"/>
      <x:c r="J111" s="20" t="str">
        <x:v>Covered</x:v>
      </x:c>
      <x:c r="K111" s="53" t="str">
        <x:v>https://theenglishfarm.com/sites/default/files/english_file_intermediate_sample_pages.pdf</x:v>
      </x:c>
    </x:row>
    <x:row r="112">
      <x:c r="A112" s="20" t="str">
        <x:v>Intermediate</x:v>
      </x:c>
      <x:c r="B112" s="20" t="str">
        <x:v>B1</x:v>
      </x:c>
      <x:c r="C112" s="20" t="n">
        <x:v>6</x:v>
      </x:c>
      <x:c r="D112" s="20" t="str">
        <x:v>6B</x:v>
      </x:c>
      <x:c r="E112" s="20" t="str">
        <x:v>modals of deduction: might, can't, must</x:v>
      </x:c>
      <x:c r="F112" s="20" t="str">
        <x:v>Direct</x:v>
      </x:c>
      <x:c r="G112" s="20" t="str">
        <x:v>Modals of Deduction</x:v>
      </x:c>
      <x:c r="H112" s="20" t="str">
        <x:v>b1</x:v>
      </x:c>
      <x:c r="I112" s="20" t="str"/>
      <x:c r="J112" s="20" t="str">
        <x:v>Covered</x:v>
      </x:c>
      <x:c r="K112" s="53" t="str">
        <x:v>https://theenglishfarm.com/sites/default/files/english_file_intermediate_sample_pages.pdf</x:v>
      </x:c>
    </x:row>
    <x:row r="113">
      <x:c r="A113" s="20" t="str">
        <x:v>Intermediate</x:v>
      </x:c>
      <x:c r="B113" s="20" t="str">
        <x:v>B1</x:v>
      </x:c>
      <x:c r="C113" s="20" t="n">
        <x:v>7</x:v>
      </x:c>
      <x:c r="D113" s="20" t="str">
        <x:v>7A</x:v>
      </x:c>
      <x:c r="E113" s="20" t="str">
        <x:v>first conditional and future time clauses</x:v>
      </x:c>
      <x:c r="F113" s="20" t="str">
        <x:v>Direct</x:v>
      </x:c>
      <x:c r="G113" s="20" t="str">
        <x:v>First Conditional &amp; Future Time Clauses</x:v>
      </x:c>
      <x:c r="H113" s="20" t="str">
        <x:v>b1</x:v>
      </x:c>
      <x:c r="I113" s="20" t="str"/>
      <x:c r="J113" s="20" t="str">
        <x:v>Covered</x:v>
      </x:c>
      <x:c r="K113" s="53" t="str">
        <x:v>https://theenglishfarm.com/sites/default/files/english_file_intermediate_sample_pages.pdf</x:v>
      </x:c>
    </x:row>
    <x:row r="114">
      <x:c r="A114" s="20" t="str">
        <x:v>Intermediate</x:v>
      </x:c>
      <x:c r="B114" s="20" t="str">
        <x:v>B1</x:v>
      </x:c>
      <x:c r="C114" s="20" t="n">
        <x:v>7</x:v>
      </x:c>
      <x:c r="D114" s="20" t="str">
        <x:v>7B</x:v>
      </x:c>
      <x:c r="E114" s="20" t="str">
        <x:v>second conditional; choosing between conditionals</x:v>
      </x:c>
      <x:c r="F114" s="20" t="str">
        <x:v>Direct</x:v>
      </x:c>
      <x:c r="G114" s="20" t="str">
        <x:v>Second Conditional: Choosing Between Conditionals | Second Conditional Reformulation</x:v>
      </x:c>
      <x:c r="H114" s="20" t="str">
        <x:v>b1, b2</x:v>
      </x:c>
      <x:c r="I114" s="20" t="str"/>
      <x:c r="J114" s="20" t="str">
        <x:v>Covered</x:v>
      </x:c>
      <x:c r="K114" s="53" t="str">
        <x:v>https://theenglishfarm.com/sites/default/files/english_file_intermediate_sample_pages.pdf</x:v>
      </x:c>
    </x:row>
    <x:row r="115">
      <x:c r="A115" s="20" t="str">
        <x:v>Intermediate</x:v>
      </x:c>
      <x:c r="B115" s="20" t="str">
        <x:v>B1</x:v>
      </x:c>
      <x:c r="C115" s="20" t="n">
        <x:v>8</x:v>
      </x:c>
      <x:c r="D115" s="20" t="str">
        <x:v>8A</x:v>
      </x:c>
      <x:c r="E115" s="20" t="str">
        <x:v>choosing between gerunds and infinitives</x:v>
      </x:c>
      <x:c r="F115" s="20" t="str">
        <x:v>Direct</x:v>
      </x:c>
      <x:c r="G115" s="20" t="str">
        <x:v>Gerunds and Infinitives</x:v>
      </x:c>
      <x:c r="H115" s="20" t="str">
        <x:v>b1</x:v>
      </x:c>
      <x:c r="I115" s="20" t="str"/>
      <x:c r="J115" s="20" t="str">
        <x:v>Covered</x:v>
      </x:c>
      <x:c r="K115" s="53" t="str">
        <x:v>https://theenglishfarm.com/sites/default/files/english_file_intermediate_sample_pages.pdf</x:v>
      </x:c>
    </x:row>
    <x:row r="116">
      <x:c r="A116" s="20" t="str">
        <x:v>Intermediate</x:v>
      </x:c>
      <x:c r="B116" s="20" t="str">
        <x:v>B1</x:v>
      </x:c>
      <x:c r="C116" s="20" t="n">
        <x:v>8</x:v>
      </x:c>
      <x:c r="D116" s="20" t="str">
        <x:v>8B</x:v>
      </x:c>
      <x:c r="E116" s="20" t="str">
        <x:v>reported speech: sentences and questions</x:v>
      </x:c>
      <x:c r="F116" s="20" t="str">
        <x:v>Direct</x:v>
      </x:c>
      <x:c r="G116" s="20" t="str">
        <x:v>Reported Speech</x:v>
      </x:c>
      <x:c r="H116" s="20" t="str">
        <x:v>b1</x:v>
      </x:c>
      <x:c r="I116" s="20" t="str"/>
      <x:c r="J116" s="20" t="str">
        <x:v>Covered</x:v>
      </x:c>
      <x:c r="K116" s="53" t="str">
        <x:v>https://theenglishfarm.com/sites/default/files/english_file_intermediate_sample_pages.pdf</x:v>
      </x:c>
    </x:row>
    <x:row r="117">
      <x:c r="A117" s="20" t="str">
        <x:v>Intermediate</x:v>
      </x:c>
      <x:c r="B117" s="20" t="str">
        <x:v>B1</x:v>
      </x:c>
      <x:c r="C117" s="20" t="n">
        <x:v>9</x:v>
      </x:c>
      <x:c r="D117" s="20" t="str">
        <x:v>9A</x:v>
      </x:c>
      <x:c r="E117" s="20" t="str">
        <x:v>third conditional</x:v>
      </x:c>
      <x:c r="F117" s="20" t="str">
        <x:v>Direct</x:v>
      </x:c>
      <x:c r="G117" s="20" t="str">
        <x:v>Third Conditional: Past Regrets</x:v>
      </x:c>
      <x:c r="H117" s="20" t="str">
        <x:v>b1</x:v>
      </x:c>
      <x:c r="I117" s="20" t="str"/>
      <x:c r="J117" s="20" t="str">
        <x:v>Covered</x:v>
      </x:c>
      <x:c r="K117" s="53" t="str">
        <x:v>https://theenglishfarm.com/sites/default/files/english_file_intermediate_sample_pages.pdf</x:v>
      </x:c>
    </x:row>
    <x:row r="118">
      <x:c r="A118" s="20" t="str">
        <x:v>Intermediate</x:v>
      </x:c>
      <x:c r="B118" s="20" t="str">
        <x:v>B1</x:v>
      </x:c>
      <x:c r="C118" s="20" t="n">
        <x:v>9</x:v>
      </x:c>
      <x:c r="D118" s="20" t="str">
        <x:v>9B</x:v>
      </x:c>
      <x:c r="E118" s="20" t="str">
        <x:v>quantifiers</x:v>
      </x:c>
      <x:c r="F118" s="20" t="str">
        <x:v>Direct</x:v>
      </x:c>
      <x:c r="G118" s="20" t="str">
        <x:v>Quantifiers</x:v>
      </x:c>
      <x:c r="H118" s="20" t="str">
        <x:v>b1</x:v>
      </x:c>
      <x:c r="I118" s="20" t="str"/>
      <x:c r="J118" s="20" t="str">
        <x:v>Covered</x:v>
      </x:c>
      <x:c r="K118" s="53" t="str">
        <x:v>https://theenglishfarm.com/sites/default/files/english_file_intermediate_sample_pages.pdf</x:v>
      </x:c>
    </x:row>
    <x:row r="119">
      <x:c r="A119" s="20" t="str">
        <x:v>Intermediate</x:v>
      </x:c>
      <x:c r="B119" s="20" t="str">
        <x:v>B1</x:v>
      </x:c>
      <x:c r="C119" s="20" t="n">
        <x:v>10</x:v>
      </x:c>
      <x:c r="D119" s="20" t="str">
        <x:v>10A</x:v>
      </x:c>
      <x:c r="E119" s="20" t="str">
        <x:v>relative clauses: defining and non-defining</x:v>
      </x:c>
      <x:c r="F119" s="20" t="str">
        <x:v>Direct</x:v>
      </x:c>
      <x:c r="G119" s="20" t="str">
        <x:v>Relative Clauses</x:v>
      </x:c>
      <x:c r="H119" s="20" t="str">
        <x:v>b1</x:v>
      </x:c>
      <x:c r="I119" s="20" t="str"/>
      <x:c r="J119" s="20" t="str">
        <x:v>Covered</x:v>
      </x:c>
      <x:c r="K119" s="53" t="str">
        <x:v>https://theenglishfarm.com/sites/default/files/english_file_intermediate_sample_pages.pdf</x:v>
      </x:c>
    </x:row>
    <x:row r="120">
      <x:c r="A120" s="20" t="str">
        <x:v>Intermediate</x:v>
      </x:c>
      <x:c r="B120" s="20" t="str">
        <x:v>B1</x:v>
      </x:c>
      <x:c r="C120" s="20" t="n">
        <x:v>10</x:v>
      </x:c>
      <x:c r="D120" s="20" t="str">
        <x:v>10B</x:v>
      </x:c>
      <x:c r="E120" s="20" t="str">
        <x:v>question tags</x:v>
      </x:c>
      <x:c r="F120" s="20" t="str">
        <x:v>Direct</x:v>
      </x:c>
      <x:c r="G120" s="20" t="str">
        <x:v>Question Tags Trainer</x:v>
      </x:c>
      <x:c r="H120" s="20" t="str">
        <x:v>b1, b2</x:v>
      </x:c>
      <x:c r="I120" s="20" t="str"/>
      <x:c r="J120" s="20" t="str">
        <x:v>Covered</x:v>
      </x:c>
      <x:c r="K120" s="53" t="str">
        <x:v>https://theenglishfarm.com/sites/default/files/english_file_intermediate_sample_pages.pdf</x:v>
      </x:c>
    </x:row>
    <x:row r="121">
      <x:c r="A121" s="20" t="str">
        <x:v>Intermediate Plus</x:v>
      </x:c>
      <x:c r="B121" s="20" t="str">
        <x:v>B1+</x:v>
      </x:c>
      <x:c r="C121" s="20" t="n">
        <x:v>1</x:v>
      </x:c>
      <x:c r="D121" s="20" t="str">
        <x:v>1A</x:v>
      </x:c>
      <x:c r="E121" s="20" t="str">
        <x:v>pronouns</x:v>
      </x:c>
      <x:c r="F121" s="20" t="str">
        <x:v>Adjacent level</x:v>
      </x:c>
      <x:c r="G121" s="20" t="str">
        <x:v>Advanced Pronouns: Generic, Reflexive, &amp; Preparatory Subjects | Possessive Pronouns and Adjectives</x:v>
      </x:c>
      <x:c r="H121" s="20" t="str">
        <x:v>c1, a2, b1</x:v>
      </x:c>
      <x:c r="I121" s="20" t="str">
        <x:v>Relevant tests are either much narrower or at C1.</x:v>
      </x:c>
      <x:c r="J121" s="20" t="str">
        <x:v>Medium</x:v>
      </x:c>
      <x:c r="K121" s="53" t="str">
        <x:v>https://studylib.net/doc/28241381/englishfile-4th-edition-intermediate-plus-tg</x:v>
      </x:c>
    </x:row>
    <x:row r="122">
      <x:c r="A122" s="20" t="str">
        <x:v>Intermediate Plus</x:v>
      </x:c>
      <x:c r="B122" s="20" t="str">
        <x:v>B1+</x:v>
      </x:c>
      <x:c r="C122" s="20" t="n">
        <x:v>1</x:v>
      </x:c>
      <x:c r="D122" s="20" t="str">
        <x:v>1B</x:v>
      </x:c>
      <x:c r="E122" s="20" t="str">
        <x:v>adjectives</x:v>
      </x:c>
      <x:c r="F122" s="20" t="str">
        <x:v>Partial</x:v>
      </x:c>
      <x:c r="G122" s="20" t="str">
        <x:v>Adjectives: Order, Groups, and -ed/-ing | -ed and -ing Adjectives</x:v>
      </x:c>
      <x:c r="H122" s="20" t="str">
        <x:v>b2, b1</x:v>
      </x:c>
      <x:c r="I122" s="20" t="str">
        <x:v>Adjective order, groups, and participle adjectives are covered; the exact File scope should be checked item-by-item.</x:v>
      </x:c>
      <x:c r="J122" s="20" t="str">
        <x:v>Medium</x:v>
      </x:c>
      <x:c r="K122" s="53" t="str">
        <x:v>https://studylib.net/doc/28241381/englishfile-4th-edition-intermediate-plus-tg</x:v>
      </x:c>
    </x:row>
    <x:row r="123">
      <x:c r="A123" s="20" t="str">
        <x:v>Intermediate Plus</x:v>
      </x:c>
      <x:c r="B123" s="20" t="str">
        <x:v>B1+</x:v>
      </x:c>
      <x:c r="C123" s="20" t="n">
        <x:v>2</x:v>
      </x:c>
      <x:c r="D123" s="20" t="str">
        <x:v>2A</x:v>
      </x:c>
      <x:c r="E123" s="20" t="str">
        <x:v>present tenses</x:v>
      </x:c>
      <x:c r="F123" s="20" t="str">
        <x:v>Direct</x:v>
      </x:c>
      <x:c r="G123" s="20" t="str">
        <x:v>Present Simple or Continuous | Present Perfect Simple or Continuous</x:v>
      </x:c>
      <x:c r="H123" s="20" t="str">
        <x:v>b1, b2</x:v>
      </x:c>
      <x:c r="I123" s="20" t="str"/>
      <x:c r="J123" s="20" t="str">
        <x:v>Covered</x:v>
      </x:c>
      <x:c r="K123" s="53" t="str">
        <x:v>https://studylib.net/doc/28241381/englishfile-4th-edition-intermediate-plus-tg</x:v>
      </x:c>
    </x:row>
    <x:row r="124">
      <x:c r="A124" s="20" t="str">
        <x:v>Intermediate Plus</x:v>
      </x:c>
      <x:c r="B124" s="20" t="str">
        <x:v>B1+</x:v>
      </x:c>
      <x:c r="C124" s="20" t="n">
        <x:v>2</x:v>
      </x:c>
      <x:c r="D124" s="20" t="str">
        <x:v>2B</x:v>
      </x:c>
      <x:c r="E124" s="20" t="str">
        <x:v>possessive forms</x:v>
      </x:c>
      <x:c r="F124" s="20" t="str">
        <x:v>Partial</x:v>
      </x:c>
      <x:c r="G124" s="20" t="str">
        <x:v>Possessive Pronouns and Adjectives</x:v>
      </x:c>
      <x:c r="H124" s="20" t="str">
        <x:v>a2, b1</x:v>
      </x:c>
      <x:c r="I124" s="20" t="str">
        <x:v>Current test is A2/B1 and focuses possessive adjectives/pronouns.</x:v>
      </x:c>
      <x:c r="J124" s="20" t="str">
        <x:v>Medium</x:v>
      </x:c>
      <x:c r="K124" s="53" t="str">
        <x:v>https://studylib.net/doc/28241381/englishfile-4th-edition-intermediate-plus-tg</x:v>
      </x:c>
    </x:row>
    <x:row r="125">
      <x:c r="A125" s="20" t="str">
        <x:v>Intermediate Plus</x:v>
      </x:c>
      <x:c r="B125" s="20" t="str">
        <x:v>B1+</x:v>
      </x:c>
      <x:c r="C125" s="20" t="n">
        <x:v>3</x:v>
      </x:c>
      <x:c r="D125" s="20" t="str">
        <x:v>3A</x:v>
      </x:c>
      <x:c r="E125" s="20" t="str">
        <x:v>past simple, past continuous, or used to</x:v>
      </x:c>
      <x:c r="F125" s="20" t="str">
        <x:v>Direct</x:v>
      </x:c>
      <x:c r="G125" s="20" t="str">
        <x:v>Past Continuous vs Past Simple | Habits: used to and usually | Habits and States: Used to &amp; Usually</x:v>
      </x:c>
      <x:c r="H125" s="20" t="str">
        <x:v>a2, b1</x:v>
      </x:c>
      <x:c r="I125" s="20" t="str"/>
      <x:c r="J125" s="20" t="str">
        <x:v>Covered</x:v>
      </x:c>
      <x:c r="K125" s="53" t="str">
        <x:v>https://studylib.net/doc/28241381/englishfile-4th-edition-intermediate-plus-tg</x:v>
      </x:c>
    </x:row>
    <x:row r="126">
      <x:c r="A126" s="20" t="str">
        <x:v>Intermediate Plus</x:v>
      </x:c>
      <x:c r="B126" s="20" t="str">
        <x:v>B1+</x:v>
      </x:c>
      <x:c r="C126" s="20" t="n">
        <x:v>3</x:v>
      </x:c>
      <x:c r="D126" s="20" t="str">
        <x:v>3B</x:v>
      </x:c>
      <x:c r="E126" s="20" t="str">
        <x:v>prepositions</x:v>
      </x:c>
      <x:c r="F126" s="20" t="str">
        <x:v>Missing</x:v>
      </x:c>
      <x:c r="G126" s="20" t="str"/>
      <x:c r="H126" s="20" t="str"/>
      <x:c r="I126" s="20" t="str"/>
      <x:c r="J126" s="20" t="str">
        <x:v>High</x:v>
      </x:c>
      <x:c r="K126" s="53" t="str">
        <x:v>https://studylib.net/doc/28241381/englishfile-4th-edition-intermediate-plus-tg</x:v>
      </x:c>
    </x:row>
    <x:row r="127">
      <x:c r="A127" s="20" t="str">
        <x:v>Intermediate Plus</x:v>
      </x:c>
      <x:c r="B127" s="20" t="str">
        <x:v>B1+</x:v>
      </x:c>
      <x:c r="C127" s="20" t="n">
        <x:v>4</x:v>
      </x:c>
      <x:c r="D127" s="20" t="str">
        <x:v>4A</x:v>
      </x:c>
      <x:c r="E127" s="20" t="str">
        <x:v>future forms: will / shall and be going to</x:v>
      </x:c>
      <x:c r="F127" s="20" t="str">
        <x:v>Direct</x:v>
      </x:c>
      <x:c r="G127" s="20" t="str">
        <x:v>Future Forms | Will and Shall: Decisions and Offers | Be Going To: Plans vs. Predictions</x:v>
      </x:c>
      <x:c r="H127" s="20" t="str">
        <x:v>b1, a2</x:v>
      </x:c>
      <x:c r="I127" s="20" t="str"/>
      <x:c r="J127" s="20" t="str">
        <x:v>Covered</x:v>
      </x:c>
      <x:c r="K127" s="53" t="str">
        <x:v>https://studylib.net/doc/28241381/englishfile-4th-edition-intermediate-plus-tg</x:v>
      </x:c>
    </x:row>
    <x:row r="128">
      <x:c r="A128" s="20" t="str">
        <x:v>Intermediate Plus</x:v>
      </x:c>
      <x:c r="B128" s="20" t="str">
        <x:v>B1+</x:v>
      </x:c>
      <x:c r="C128" s="20" t="n">
        <x:v>4</x:v>
      </x:c>
      <x:c r="D128" s="20" t="str">
        <x:v>4B</x:v>
      </x:c>
      <x:c r="E128" s="20" t="str">
        <x:v>first and second conditionals</x:v>
      </x:c>
      <x:c r="F128" s="20" t="str">
        <x:v>Direct</x:v>
      </x:c>
      <x:c r="G128" s="20" t="str">
        <x:v>First Conditional &amp; Future Time Clauses | Second Conditional: Choosing Between Conditionals</x:v>
      </x:c>
      <x:c r="H128" s="20" t="str">
        <x:v>b1</x:v>
      </x:c>
      <x:c r="I128" s="20" t="str"/>
      <x:c r="J128" s="20" t="str">
        <x:v>Covered</x:v>
      </x:c>
      <x:c r="K128" s="53" t="str">
        <x:v>https://studylib.net/doc/28241381/englishfile-4th-edition-intermediate-plus-tg</x:v>
      </x:c>
    </x:row>
    <x:row r="129">
      <x:c r="A129" s="20" t="str">
        <x:v>Intermediate Plus</x:v>
      </x:c>
      <x:c r="B129" s="20" t="str">
        <x:v>B1+</x:v>
      </x:c>
      <x:c r="C129" s="20" t="n">
        <x:v>5</x:v>
      </x:c>
      <x:c r="D129" s="20" t="str">
        <x:v>5A</x:v>
      </x:c>
      <x:c r="E129" s="20" t="str">
        <x:v>present perfect simple</x:v>
      </x:c>
      <x:c r="F129" s="20" t="str">
        <x:v>Direct</x:v>
      </x:c>
      <x:c r="G129" s="20" t="str">
        <x:v>Present Perfect: Adverbs &amp; Form | Present Perfect or Past Simple</x:v>
      </x:c>
      <x:c r="H129" s="20" t="str">
        <x:v>a2, b1</x:v>
      </x:c>
      <x:c r="I129" s="20" t="str"/>
      <x:c r="J129" s="20" t="str">
        <x:v>Covered</x:v>
      </x:c>
      <x:c r="K129" s="53" t="str">
        <x:v>https://studylib.net/doc/28241381/englishfile-4th-edition-intermediate-plus-tg</x:v>
      </x:c>
    </x:row>
    <x:row r="130">
      <x:c r="A130" s="20" t="str">
        <x:v>Intermediate Plus</x:v>
      </x:c>
      <x:c r="B130" s="20" t="str">
        <x:v>B1+</x:v>
      </x:c>
      <x:c r="C130" s="20" t="n">
        <x:v>5</x:v>
      </x:c>
      <x:c r="D130" s="20" t="str">
        <x:v>5B</x:v>
      </x:c>
      <x:c r="E130" s="20" t="str">
        <x:v>present perfect continuous</x:v>
      </x:c>
      <x:c r="F130" s="20" t="str">
        <x:v>Direct</x:v>
      </x:c>
      <x:c r="G130" s="20" t="str">
        <x:v>Present Perfect Simple or Continuous</x:v>
      </x:c>
      <x:c r="H130" s="20" t="str">
        <x:v>b1, b2</x:v>
      </x:c>
      <x:c r="I130" s="20" t="str"/>
      <x:c r="J130" s="20" t="str">
        <x:v>Covered</x:v>
      </x:c>
      <x:c r="K130" s="53" t="str">
        <x:v>https://studylib.net/doc/28241381/englishfile-4th-edition-intermediate-plus-tg</x:v>
      </x:c>
    </x:row>
    <x:row r="131">
      <x:c r="A131" s="20" t="str">
        <x:v>Intermediate Plus</x:v>
      </x:c>
      <x:c r="B131" s="20" t="str">
        <x:v>B1+</x:v>
      </x:c>
      <x:c r="C131" s="20" t="n">
        <x:v>6</x:v>
      </x:c>
      <x:c r="D131" s="20" t="str">
        <x:v>6A</x:v>
      </x:c>
      <x:c r="E131" s="20" t="str">
        <x:v>obligation, necessity, prohibition, advice</x:v>
      </x:c>
      <x:c r="F131" s="20" t="str">
        <x:v>Direct</x:v>
      </x:c>
      <x:c r="G131" s="20" t="str">
        <x:v>Modals: Obligation and Prohibition | Giving Advice: Should and Shouldn't</x:v>
      </x:c>
      <x:c r="H131" s="20" t="str">
        <x:v>b1, a2</x:v>
      </x:c>
      <x:c r="I131" s="20" t="str"/>
      <x:c r="J131" s="20" t="str">
        <x:v>Covered</x:v>
      </x:c>
      <x:c r="K131" s="53" t="str">
        <x:v>https://studylib.net/doc/28241381/englishfile-4th-edition-intermediate-plus-tg</x:v>
      </x:c>
    </x:row>
    <x:row r="132">
      <x:c r="A132" s="20" t="str">
        <x:v>Intermediate Plus</x:v>
      </x:c>
      <x:c r="B132" s="20" t="str">
        <x:v>B1+</x:v>
      </x:c>
      <x:c r="C132" s="20" t="n">
        <x:v>6</x:v>
      </x:c>
      <x:c r="D132" s="20" t="str">
        <x:v>6B</x:v>
      </x:c>
      <x:c r="E132" s="20" t="str">
        <x:v>can, could, and be able to</x:v>
      </x:c>
      <x:c r="F132" s="20" t="str">
        <x:v>Direct</x:v>
      </x:c>
      <x:c r="G132" s="20" t="str">
        <x:v>Ability: Can, Could, or Be Able To?</x:v>
      </x:c>
      <x:c r="H132" s="20" t="str">
        <x:v>b1</x:v>
      </x:c>
      <x:c r="I132" s="20" t="str"/>
      <x:c r="J132" s="20" t="str">
        <x:v>Covered</x:v>
      </x:c>
      <x:c r="K132" s="53" t="str">
        <x:v>https://studylib.net/doc/28241381/englishfile-4th-edition-intermediate-plus-tg</x:v>
      </x:c>
    </x:row>
    <x:row r="133">
      <x:c r="A133" s="20" t="str">
        <x:v>Intermediate Plus</x:v>
      </x:c>
      <x:c r="B133" s="20" t="str">
        <x:v>B1+</x:v>
      </x:c>
      <x:c r="C133" s="20" t="n">
        <x:v>7</x:v>
      </x:c>
      <x:c r="D133" s="20" t="str">
        <x:v>7A</x:v>
      </x:c>
      <x:c r="E133" s="20" t="str">
        <x:v>phrasal verbs</x:v>
      </x:c>
      <x:c r="F133" s="20" t="str">
        <x:v>Partial</x:v>
      </x:c>
      <x:c r="G133" s="20" t="str">
        <x:v>Phrasal Verbs: Word Order Mastery</x:v>
      </x:c>
      <x:c r="H133" s="20" t="str">
        <x:v>a2, b1</x:v>
      </x:c>
      <x:c r="I133" s="20" t="str">
        <x:v>The current test focuses separability and word order, not the full File range.</x:v>
      </x:c>
      <x:c r="J133" s="20" t="str">
        <x:v>Medium</x:v>
      </x:c>
      <x:c r="K133" s="53" t="str">
        <x:v>https://studylib.net/doc/28241381/englishfile-4th-edition-intermediate-plus-tg</x:v>
      </x:c>
    </x:row>
    <x:row r="134">
      <x:c r="A134" s="20" t="str">
        <x:v>Intermediate Plus</x:v>
      </x:c>
      <x:c r="B134" s="20" t="str">
        <x:v>B1+</x:v>
      </x:c>
      <x:c r="C134" s="20" t="n">
        <x:v>7</x:v>
      </x:c>
      <x:c r="D134" s="20" t="str">
        <x:v>7B</x:v>
      </x:c>
      <x:c r="E134" s="20" t="str">
        <x:v>verb patterns</x:v>
      </x:c>
      <x:c r="F134" s="20" t="str">
        <x:v>Direct</x:v>
      </x:c>
      <x:c r="G134" s="20" t="str">
        <x:v>Gerunds and Infinitives | Gerunds and Infinitives: B2 Level</x:v>
      </x:c>
      <x:c r="H134" s="20" t="str">
        <x:v>b1, b2</x:v>
      </x:c>
      <x:c r="I134" s="20" t="str"/>
      <x:c r="J134" s="20" t="str">
        <x:v>Covered</x:v>
      </x:c>
      <x:c r="K134" s="53" t="str">
        <x:v>https://studylib.net/doc/28241381/englishfile-4th-edition-intermediate-plus-tg</x:v>
      </x:c>
    </x:row>
    <x:row r="135">
      <x:c r="A135" s="20" t="str">
        <x:v>Intermediate Plus</x:v>
      </x:c>
      <x:c r="B135" s="20" t="str">
        <x:v>B1+</x:v>
      </x:c>
      <x:c r="C135" s="20" t="n">
        <x:v>8</x:v>
      </x:c>
      <x:c r="D135" s="20" t="str">
        <x:v>8A</x:v>
      </x:c>
      <x:c r="E135" s="20" t="str">
        <x:v>have something done</x:v>
      </x:c>
      <x:c r="F135" s="20" t="str">
        <x:v>Direct</x:v>
      </x:c>
      <x:c r="G135" s="20" t="str">
        <x:v>The Passive: Advanced Forms</x:v>
      </x:c>
      <x:c r="H135" s="20" t="str">
        <x:v>b2</x:v>
      </x:c>
      <x:c r="I135" s="20" t="str"/>
      <x:c r="J135" s="20" t="str">
        <x:v>Covered</x:v>
      </x:c>
      <x:c r="K135" s="53" t="str">
        <x:v>https://studylib.net/doc/28241381/englishfile-4th-edition-intermediate-plus-tg</x:v>
      </x:c>
    </x:row>
    <x:row r="136">
      <x:c r="A136" s="20" t="str">
        <x:v>Intermediate Plus</x:v>
      </x:c>
      <x:c r="B136" s="20" t="str">
        <x:v>B1+</x:v>
      </x:c>
      <x:c r="C136" s="20" t="n">
        <x:v>8</x:v>
      </x:c>
      <x:c r="D136" s="20" t="str">
        <x:v>8B</x:v>
      </x:c>
      <x:c r="E136" s="20" t="str">
        <x:v>the passive; defining and non-defining relative clauses</x:v>
      </x:c>
      <x:c r="F136" s="20" t="str">
        <x:v>Direct</x:v>
      </x:c>
      <x:c r="G136" s="20" t="str">
        <x:v>Passive Voice Reformulation | Relative Clauses</x:v>
      </x:c>
      <x:c r="H136" s="20" t="str">
        <x:v>b1, b2</x:v>
      </x:c>
      <x:c r="I136" s="20" t="str"/>
      <x:c r="J136" s="20" t="str">
        <x:v>Covered</x:v>
      </x:c>
      <x:c r="K136" s="53" t="str">
        <x:v>https://studylib.net/doc/28241381/englishfile-4th-edition-intermediate-plus-tg</x:v>
      </x:c>
    </x:row>
    <x:row r="137">
      <x:c r="A137" s="20" t="str">
        <x:v>Intermediate Plus</x:v>
      </x:c>
      <x:c r="B137" s="20" t="str">
        <x:v>B1+</x:v>
      </x:c>
      <x:c r="C137" s="20" t="n">
        <x:v>9</x:v>
      </x:c>
      <x:c r="D137" s="20" t="str">
        <x:v>9A</x:v>
      </x:c>
      <x:c r="E137" s="20" t="str">
        <x:v>reported speech</x:v>
      </x:c>
      <x:c r="F137" s="20" t="str">
        <x:v>Direct</x:v>
      </x:c>
      <x:c r="G137" s="20" t="str">
        <x:v>Reported Speech</x:v>
      </x:c>
      <x:c r="H137" s="20" t="str">
        <x:v>b1</x:v>
      </x:c>
      <x:c r="I137" s="20" t="str"/>
      <x:c r="J137" s="20" t="str">
        <x:v>Covered</x:v>
      </x:c>
      <x:c r="K137" s="53" t="str">
        <x:v>https://studylib.net/doc/28241381/englishfile-4th-edition-intermediate-plus-tg</x:v>
      </x:c>
    </x:row>
    <x:row r="138">
      <x:c r="A138" s="20" t="str">
        <x:v>Intermediate Plus</x:v>
      </x:c>
      <x:c r="B138" s="20" t="str">
        <x:v>B1+</x:v>
      </x:c>
      <x:c r="C138" s="20" t="n">
        <x:v>9</x:v>
      </x:c>
      <x:c r="D138" s="20" t="str">
        <x:v>9B</x:v>
      </x:c>
      <x:c r="E138" s="20" t="str">
        <x:v>third conditional; other uses of past perfect; adverbs</x:v>
      </x:c>
      <x:c r="F138" s="20" t="str">
        <x:v>Direct</x:v>
      </x:c>
      <x:c r="G138" s="20" t="str">
        <x:v>Third Conditional: Past Regrets | The Past Perfect: Logic &amp; Form | Adverb Position: B2 Practice</x:v>
      </x:c>
      <x:c r="H138" s="20" t="str">
        <x:v>b1, a2, b2</x:v>
      </x:c>
      <x:c r="I138" s="20" t="str"/>
      <x:c r="J138" s="20" t="str">
        <x:v>Covered</x:v>
      </x:c>
      <x:c r="K138" s="53" t="str">
        <x:v>https://studylib.net/doc/28241381/englishfile-4th-edition-intermediate-plus-tg</x:v>
      </x:c>
    </x:row>
    <x:row r="139">
      <x:c r="A139" s="20" t="str">
        <x:v>Intermediate Plus</x:v>
      </x:c>
      <x:c r="B139" s="20" t="str">
        <x:v>B1+</x:v>
      </x:c>
      <x:c r="C139" s="20" t="n">
        <x:v>10</x:v>
      </x:c>
      <x:c r="D139" s="20" t="str">
        <x:v>10A</x:v>
      </x:c>
      <x:c r="E139" s="20" t="str">
        <x:v>be, do, and have: auxiliary and main verbs</x:v>
      </x:c>
      <x:c r="F139" s="20" t="str">
        <x:v>Partial</x:v>
      </x:c>
      <x:c r="G139" s="20" t="str">
        <x:v>Auxiliary Verbs: Echoes and Emphasis | The Big Verb Review</x:v>
      </x:c>
      <x:c r="H139" s="20" t="str">
        <x:v>b2, a2, b1</x:v>
      </x:c>
      <x:c r="I139" s="20" t="str">
        <x:v>Auxiliary echoes/emphasis and a general verb review do not fully cover lexical/main-verb contrasts.</x:v>
      </x:c>
      <x:c r="J139" s="20" t="str">
        <x:v>Medium</x:v>
      </x:c>
      <x:c r="K139" s="53" t="str">
        <x:v>https://studylib.net/doc/28241381/englishfile-4th-edition-intermediate-plus-tg</x:v>
      </x:c>
    </x:row>
    <x:row r="140">
      <x:c r="A140" s="20" t="str">
        <x:v>Intermediate Plus</x:v>
      </x:c>
      <x:c r="B140" s="20" t="str">
        <x:v>B1+</x:v>
      </x:c>
      <x:c r="C140" s="20" t="n">
        <x:v>10</x:v>
      </x:c>
      <x:c r="D140" s="20" t="str">
        <x:v>10B</x:v>
      </x:c>
      <x:c r="E140" s="20" t="str">
        <x:v>revision of verb forms</x:v>
      </x:c>
      <x:c r="F140" s="20" t="str">
        <x:v>Partial</x:v>
      </x:c>
      <x:c r="G140" s="20" t="str">
        <x:v>The Big Verb Review | Future Forms | Past and Narrative Tenses</x:v>
      </x:c>
      <x:c r="H140" s="20" t="str">
        <x:v>a2, b1</x:v>
      </x:c>
      <x:c r="I140" s="20" t="str">
        <x:v>Coverage is distributed across several tests rather than one B1+ cumulative review.</x:v>
      </x:c>
      <x:c r="J140" s="20" t="str">
        <x:v>Medium</x:v>
      </x:c>
      <x:c r="K140" s="53" t="str">
        <x:v>https://studylib.net/doc/28241381/englishfile-4th-edition-intermediate-plus-tg</x:v>
      </x:c>
    </x:row>
    <x:row r="141">
      <x:c r="A141" s="20" t="str">
        <x:v>Upper-Intermediate</x:v>
      </x:c>
      <x:c r="B141" s="20" t="str">
        <x:v>B2</x:v>
      </x:c>
      <x:c r="C141" s="20" t="n">
        <x:v>1</x:v>
      </x:c>
      <x:c r="D141" s="20" t="str">
        <x:v>1A</x:v>
      </x:c>
      <x:c r="E141" s="20" t="str">
        <x:v>question formation</x:v>
      </x:c>
      <x:c r="F141" s="20" t="str">
        <x:v>Direct</x:v>
      </x:c>
      <x:c r="G141" s="20" t="str">
        <x:v>Question Formation: Direct &amp; Indirect</x:v>
      </x:c>
      <x:c r="H141" s="20" t="str">
        <x:v>b2</x:v>
      </x:c>
      <x:c r="I141" s="20" t="str"/>
      <x:c r="J141" s="20" t="str">
        <x:v>Covered</x:v>
      </x:c>
      <x:c r="K141" s="53" t="str">
        <x:v>https://dokumen.pub/english-file-upper-intermediate-teachers-guide-fourthnbsped-9780194039819.html</x:v>
      </x:c>
    </x:row>
    <x:row r="142">
      <x:c r="A142" s="20" t="str">
        <x:v>Upper-Intermediate</x:v>
      </x:c>
      <x:c r="B142" s="20" t="str">
        <x:v>B2</x:v>
      </x:c>
      <x:c r="C142" s="20" t="n">
        <x:v>1</x:v>
      </x:c>
      <x:c r="D142" s="20" t="str">
        <x:v>1B</x:v>
      </x:c>
      <x:c r="E142" s="20" t="str">
        <x:v>auxiliary verbs; the...the... + comparatives</x:v>
      </x:c>
      <x:c r="F142" s="20" t="str">
        <x:v>Partial</x:v>
      </x:c>
      <x:c r="G142" s="20" t="str">
        <x:v>Auxiliary Verbs: Echoes and Emphasis | Comparatives and Superlatives</x:v>
      </x:c>
      <x:c r="H142" s="20" t="str">
        <x:v>b2, b1</x:v>
      </x:c>
      <x:c r="I142" s="20" t="str">
        <x:v>Auxiliary verbs are direct; proportional double comparatives are not explicitly targeted.</x:v>
      </x:c>
      <x:c r="J142" s="20" t="str">
        <x:v>Medium</x:v>
      </x:c>
      <x:c r="K142" s="53" t="str">
        <x:v>https://dokumen.pub/english-file-upper-intermediate-teachers-guide-fourthnbsped-9780194039819.html</x:v>
      </x:c>
    </x:row>
    <x:row r="143">
      <x:c r="A143" s="20" t="str">
        <x:v>Upper-Intermediate</x:v>
      </x:c>
      <x:c r="B143" s="20" t="str">
        <x:v>B2</x:v>
      </x:c>
      <x:c r="C143" s="20" t="n">
        <x:v>2</x:v>
      </x:c>
      <x:c r="D143" s="20" t="str">
        <x:v>2A</x:v>
      </x:c>
      <x:c r="E143" s="20" t="str">
        <x:v>present perfect simple and continuous</x:v>
      </x:c>
      <x:c r="F143" s="20" t="str">
        <x:v>Direct</x:v>
      </x:c>
      <x:c r="G143" s="20" t="str">
        <x:v>Present Perfect Simple or Continuous</x:v>
      </x:c>
      <x:c r="H143" s="20" t="str">
        <x:v>b1, b2</x:v>
      </x:c>
      <x:c r="I143" s="20" t="str"/>
      <x:c r="J143" s="20" t="str">
        <x:v>Covered</x:v>
      </x:c>
      <x:c r="K143" s="53" t="str">
        <x:v>https://dokumen.pub/english-file-upper-intermediate-teachers-guide-fourthnbsped-9780194039819.html</x:v>
      </x:c>
    </x:row>
    <x:row r="144">
      <x:c r="A144" s="20" t="str">
        <x:v>Upper-Intermediate</x:v>
      </x:c>
      <x:c r="B144" s="20" t="str">
        <x:v>B2</x:v>
      </x:c>
      <x:c r="C144" s="20" t="n">
        <x:v>2</x:v>
      </x:c>
      <x:c r="D144" s="20" t="str">
        <x:v>2B</x:v>
      </x:c>
      <x:c r="E144" s="20" t="str">
        <x:v>adjectives as nouns; adjective order</x:v>
      </x:c>
      <x:c r="F144" s="20" t="str">
        <x:v>Direct</x:v>
      </x:c>
      <x:c r="G144" s="20" t="str">
        <x:v>Adjectives: Order, Groups, and -ed/-ing</x:v>
      </x:c>
      <x:c r="H144" s="20" t="str">
        <x:v>b2</x:v>
      </x:c>
      <x:c r="I144" s="20" t="str"/>
      <x:c r="J144" s="20" t="str">
        <x:v>Covered</x:v>
      </x:c>
      <x:c r="K144" s="53" t="str">
        <x:v>https://dokumen.pub/english-file-upper-intermediate-teachers-guide-fourthnbsped-9780194039819.html</x:v>
      </x:c>
    </x:row>
    <x:row r="145">
      <x:c r="A145" s="20" t="str">
        <x:v>Upper-Intermediate</x:v>
      </x:c>
      <x:c r="B145" s="20" t="str">
        <x:v>B2</x:v>
      </x:c>
      <x:c r="C145" s="20" t="n">
        <x:v>3</x:v>
      </x:c>
      <x:c r="D145" s="20" t="str">
        <x:v>3A</x:v>
      </x:c>
      <x:c r="E145" s="20" t="str">
        <x:v>narrative tenses; past perfect continuous; so / such...that</x:v>
      </x:c>
      <x:c r="F145" s="20" t="str">
        <x:v>Partial</x:v>
      </x:c>
      <x:c r="G145" s="20" t="str">
        <x:v>Narrative Tenses: Storytelling</x:v>
      </x:c>
      <x:c r="H145" s="20" t="str">
        <x:v>b2</x:v>
      </x:c>
      <x:c r="I145" s="20" t="str">
        <x:v>Narrative tenses are strong; so/such...that is not explicit in the test scope.</x:v>
      </x:c>
      <x:c r="J145" s="20" t="str">
        <x:v>Medium</x:v>
      </x:c>
      <x:c r="K145" s="53" t="str">
        <x:v>https://dokumen.pub/english-file-upper-intermediate-teachers-guide-fourthnbsped-9780194039819.html</x:v>
      </x:c>
    </x:row>
    <x:row r="146">
      <x:c r="A146" s="20" t="str">
        <x:v>Upper-Intermediate</x:v>
      </x:c>
      <x:c r="B146" s="20" t="str">
        <x:v>B2</x:v>
      </x:c>
      <x:c r="C146" s="20" t="n">
        <x:v>3</x:v>
      </x:c>
      <x:c r="D146" s="20" t="str">
        <x:v>3B</x:v>
      </x:c>
      <x:c r="E146" s="20" t="str">
        <x:v>position of adverbs and adverbial phrases</x:v>
      </x:c>
      <x:c r="F146" s="20" t="str">
        <x:v>Direct</x:v>
      </x:c>
      <x:c r="G146" s="20" t="str">
        <x:v>Adverb Position: B2 Practice</x:v>
      </x:c>
      <x:c r="H146" s="20" t="str">
        <x:v>b2</x:v>
      </x:c>
      <x:c r="I146" s="20" t="str"/>
      <x:c r="J146" s="20" t="str">
        <x:v>Covered</x:v>
      </x:c>
      <x:c r="K146" s="53" t="str">
        <x:v>https://dokumen.pub/english-file-upper-intermediate-teachers-guide-fourthnbsped-9780194039819.html</x:v>
      </x:c>
    </x:row>
    <x:row r="147">
      <x:c r="A147" s="20" t="str">
        <x:v>Upper-Intermediate</x:v>
      </x:c>
      <x:c r="B147" s="20" t="str">
        <x:v>B2</x:v>
      </x:c>
      <x:c r="C147" s="20" t="n">
        <x:v>4</x:v>
      </x:c>
      <x:c r="D147" s="20" t="str">
        <x:v>4A</x:v>
      </x:c>
      <x:c r="E147" s="20" t="str">
        <x:v>future perfect and future continuous</x:v>
      </x:c>
      <x:c r="F147" s="20" t="str">
        <x:v>Direct</x:v>
      </x:c>
      <x:c r="G147" s="20" t="str">
        <x:v>Future Continuous vs. Future Perfect</x:v>
      </x:c>
      <x:c r="H147" s="20" t="str">
        <x:v>b2</x:v>
      </x:c>
      <x:c r="I147" s="20" t="str"/>
      <x:c r="J147" s="20" t="str">
        <x:v>Covered</x:v>
      </x:c>
      <x:c r="K147" s="53" t="str">
        <x:v>https://dokumen.pub/english-file-upper-intermediate-teachers-guide-fourthnbsped-9780194039819.html</x:v>
      </x:c>
    </x:row>
    <x:row r="148">
      <x:c r="A148" s="20" t="str">
        <x:v>Upper-Intermediate</x:v>
      </x:c>
      <x:c r="B148" s="20" t="str">
        <x:v>B2</x:v>
      </x:c>
      <x:c r="C148" s="20" t="n">
        <x:v>4</x:v>
      </x:c>
      <x:c r="D148" s="20" t="str">
        <x:v>4B</x:v>
      </x:c>
      <x:c r="E148" s="20" t="str">
        <x:v>zero and first conditionals; future time clauses</x:v>
      </x:c>
      <x:c r="F148" s="20" t="str">
        <x:v>Direct</x:v>
      </x:c>
      <x:c r="G148" s="20" t="str">
        <x:v>Logic of the Future: Conditionals &amp; Time Clauses</x:v>
      </x:c>
      <x:c r="H148" s="20" t="str">
        <x:v>b2</x:v>
      </x:c>
      <x:c r="I148" s="20" t="str"/>
      <x:c r="J148" s="20" t="str">
        <x:v>Covered</x:v>
      </x:c>
      <x:c r="K148" s="53" t="str">
        <x:v>https://dokumen.pub/english-file-upper-intermediate-teachers-guide-fourthnbsped-9780194039819.html</x:v>
      </x:c>
    </x:row>
    <x:row r="149">
      <x:c r="A149" s="20" t="str">
        <x:v>Upper-Intermediate</x:v>
      </x:c>
      <x:c r="B149" s="20" t="str">
        <x:v>B2</x:v>
      </x:c>
      <x:c r="C149" s="20" t="n">
        <x:v>5</x:v>
      </x:c>
      <x:c r="D149" s="20" t="str">
        <x:v>5A</x:v>
      </x:c>
      <x:c r="E149" s="20" t="str">
        <x:v>unreal conditionals</x:v>
      </x:c>
      <x:c r="F149" s="20" t="str">
        <x:v>Direct</x:v>
      </x:c>
      <x:c r="G149" s="20" t="str">
        <x:v>Unreal Conditionals: 2nd, 3rd &amp; Mixed</x:v>
      </x:c>
      <x:c r="H149" s="20" t="str">
        <x:v>b2</x:v>
      </x:c>
      <x:c r="I149" s="20" t="str"/>
      <x:c r="J149" s="20" t="str">
        <x:v>Covered</x:v>
      </x:c>
      <x:c r="K149" s="53" t="str">
        <x:v>https://dokumen.pub/english-file-upper-intermediate-teachers-guide-fourthnbsped-9780194039819.html</x:v>
      </x:c>
    </x:row>
    <x:row r="150">
      <x:c r="A150" s="20" t="str">
        <x:v>Upper-Intermediate</x:v>
      </x:c>
      <x:c r="B150" s="20" t="str">
        <x:v>B2</x:v>
      </x:c>
      <x:c r="C150" s="20" t="n">
        <x:v>5</x:v>
      </x:c>
      <x:c r="D150" s="20" t="str">
        <x:v>5B</x:v>
      </x:c>
      <x:c r="E150" s="20" t="str">
        <x:v>wish: present/future and past regrets</x:v>
      </x:c>
      <x:c r="F150" s="20" t="str">
        <x:v>Direct</x:v>
      </x:c>
      <x:c r="G150" s="20" t="str">
        <x:v>Wishes and Regrets</x:v>
      </x:c>
      <x:c r="H150" s="20" t="str">
        <x:v>b2</x:v>
      </x:c>
      <x:c r="I150" s="20" t="str"/>
      <x:c r="J150" s="20" t="str">
        <x:v>Covered</x:v>
      </x:c>
      <x:c r="K150" s="53" t="str">
        <x:v>https://dokumen.pub/english-file-upper-intermediate-teachers-guide-fourthnbsped-9780194039819.html</x:v>
      </x:c>
    </x:row>
    <x:row r="151">
      <x:c r="A151" s="20" t="str">
        <x:v>Upper-Intermediate</x:v>
      </x:c>
      <x:c r="B151" s="20" t="str">
        <x:v>B2</x:v>
      </x:c>
      <x:c r="C151" s="20" t="n">
        <x:v>6</x:v>
      </x:c>
      <x:c r="D151" s="20" t="str">
        <x:v>6A</x:v>
      </x:c>
      <x:c r="E151" s="20" t="str">
        <x:v>used to; be used to; get used to</x:v>
      </x:c>
      <x:c r="F151" s="20" t="str">
        <x:v>Direct</x:v>
      </x:c>
      <x:c r="G151" s="20" t="str">
        <x:v>Used To Forms</x:v>
      </x:c>
      <x:c r="H151" s="20" t="str">
        <x:v>b2</x:v>
      </x:c>
      <x:c r="I151" s="20" t="str"/>
      <x:c r="J151" s="20" t="str">
        <x:v>Covered</x:v>
      </x:c>
      <x:c r="K151" s="53" t="str">
        <x:v>https://dokumen.pub/english-file-upper-intermediate-teachers-guide-fourthnbsped-9780194039819.html</x:v>
      </x:c>
    </x:row>
    <x:row r="152">
      <x:c r="A152" s="20" t="str">
        <x:v>Upper-Intermediate</x:v>
      </x:c>
      <x:c r="B152" s="20" t="str">
        <x:v>B2</x:v>
      </x:c>
      <x:c r="C152" s="20" t="n">
        <x:v>6</x:v>
      </x:c>
      <x:c r="D152" s="20" t="str">
        <x:v>6B</x:v>
      </x:c>
      <x:c r="E152" s="20" t="str">
        <x:v>gerunds and infinitives</x:v>
      </x:c>
      <x:c r="F152" s="20" t="str">
        <x:v>Direct</x:v>
      </x:c>
      <x:c r="G152" s="20" t="str">
        <x:v>Gerunds and Infinitives: B2 Level</x:v>
      </x:c>
      <x:c r="H152" s="20" t="str">
        <x:v>b2</x:v>
      </x:c>
      <x:c r="I152" s="20" t="str"/>
      <x:c r="J152" s="20" t="str">
        <x:v>Covered</x:v>
      </x:c>
      <x:c r="K152" s="53" t="str">
        <x:v>https://dokumen.pub/english-file-upper-intermediate-teachers-guide-fourthnbsped-9780194039819.html</x:v>
      </x:c>
    </x:row>
    <x:row r="153">
      <x:c r="A153" s="20" t="str">
        <x:v>Upper-Intermediate</x:v>
      </x:c>
      <x:c r="B153" s="20" t="str">
        <x:v>B2</x:v>
      </x:c>
      <x:c r="C153" s="20" t="n">
        <x:v>7</x:v>
      </x:c>
      <x:c r="D153" s="20" t="str">
        <x:v>7A</x:v>
      </x:c>
      <x:c r="E153" s="20" t="str">
        <x:v>past modals; would rather</x:v>
      </x:c>
      <x:c r="F153" s="20" t="str">
        <x:v>Partial</x:v>
      </x:c>
      <x:c r="G153" s="20" t="str">
        <x:v>Past Modals: Deduction &amp; Regret</x:v>
      </x:c>
      <x:c r="H153" s="20" t="str">
        <x:v>b2</x:v>
      </x:c>
      <x:c r="I153" s="20" t="str">
        <x:v>Past modals are direct; would rather is not included in the stated test scope.</x:v>
      </x:c>
      <x:c r="J153" s="20" t="str">
        <x:v>Medium</x:v>
      </x:c>
      <x:c r="K153" s="53" t="str">
        <x:v>https://dokumen.pub/english-file-upper-intermediate-teachers-guide-fourthnbsped-9780194039819.html</x:v>
      </x:c>
    </x:row>
    <x:row r="154">
      <x:c r="A154" s="20" t="str">
        <x:v>Upper-Intermediate</x:v>
      </x:c>
      <x:c r="B154" s="20" t="str">
        <x:v>B2</x:v>
      </x:c>
      <x:c r="C154" s="20" t="n">
        <x:v>7</x:v>
      </x:c>
      <x:c r="D154" s="20" t="str">
        <x:v>7B</x:v>
      </x:c>
      <x:c r="E154" s="20" t="str">
        <x:v>verbs of the senses</x:v>
      </x:c>
      <x:c r="F154" s="20" t="str">
        <x:v>Direct</x:v>
      </x:c>
      <x:c r="G154" s="20" t="str">
        <x:v>Verbs of the Senses</x:v>
      </x:c>
      <x:c r="H154" s="20" t="str">
        <x:v>b2</x:v>
      </x:c>
      <x:c r="I154" s="20" t="str"/>
      <x:c r="J154" s="20" t="str">
        <x:v>Covered</x:v>
      </x:c>
      <x:c r="K154" s="53" t="str">
        <x:v>https://dokumen.pub/english-file-upper-intermediate-teachers-guide-fourthnbsped-9780194039819.html</x:v>
      </x:c>
    </x:row>
    <x:row r="155">
      <x:c r="A155" s="20" t="str">
        <x:v>Upper-Intermediate</x:v>
      </x:c>
      <x:c r="B155" s="20" t="str">
        <x:v>B2</x:v>
      </x:c>
      <x:c r="C155" s="20" t="n">
        <x:v>8</x:v>
      </x:c>
      <x:c r="D155" s="20" t="str">
        <x:v>8A</x:v>
      </x:c>
      <x:c r="E155" s="20" t="str">
        <x:v>passive all forms; have something done; reporting passives</x:v>
      </x:c>
      <x:c r="F155" s="20" t="str">
        <x:v>Direct</x:v>
      </x:c>
      <x:c r="G155" s="20" t="str">
        <x:v>The Passive: Advanced Forms</x:v>
      </x:c>
      <x:c r="H155" s="20" t="str">
        <x:v>b2</x:v>
      </x:c>
      <x:c r="I155" s="20" t="str"/>
      <x:c r="J155" s="20" t="str">
        <x:v>Covered</x:v>
      </x:c>
      <x:c r="K155" s="53" t="str">
        <x:v>https://dokumen.pub/english-file-upper-intermediate-teachers-guide-fourthnbsped-9780194039819.html</x:v>
      </x:c>
    </x:row>
    <x:row r="156">
      <x:c r="A156" s="20" t="str">
        <x:v>Upper-Intermediate</x:v>
      </x:c>
      <x:c r="B156" s="20" t="str">
        <x:v>B2</x:v>
      </x:c>
      <x:c r="C156" s="20" t="n">
        <x:v>8</x:v>
      </x:c>
      <x:c r="D156" s="20" t="str">
        <x:v>8B</x:v>
      </x:c>
      <x:c r="E156" s="20" t="str">
        <x:v>reporting verbs</x:v>
      </x:c>
      <x:c r="F156" s="20" t="str">
        <x:v>Direct</x:v>
      </x:c>
      <x:c r="G156" s="20" t="str">
        <x:v>Reporting Verbs: B2 Level</x:v>
      </x:c>
      <x:c r="H156" s="20" t="str">
        <x:v>b2</x:v>
      </x:c>
      <x:c r="I156" s="20" t="str"/>
      <x:c r="J156" s="20" t="str">
        <x:v>Covered</x:v>
      </x:c>
      <x:c r="K156" s="53" t="str">
        <x:v>https://dokumen.pub/english-file-upper-intermediate-teachers-guide-fourthnbsped-9780194039819.html</x:v>
      </x:c>
    </x:row>
    <x:row r="157">
      <x:c r="A157" s="20" t="str">
        <x:v>Upper-Intermediate</x:v>
      </x:c>
      <x:c r="B157" s="20" t="str">
        <x:v>B2</x:v>
      </x:c>
      <x:c r="C157" s="20" t="n">
        <x:v>9</x:v>
      </x:c>
      <x:c r="D157" s="20" t="str">
        <x:v>9A</x:v>
      </x:c>
      <x:c r="E157" s="20" t="str">
        <x:v>clauses of contrast and purpose</x:v>
      </x:c>
      <x:c r="F157" s="20" t="str">
        <x:v>Direct</x:v>
      </x:c>
      <x:c r="G157" s="20" t="str">
        <x:v>Contrast and Purpose</x:v>
      </x:c>
      <x:c r="H157" s="20" t="str">
        <x:v>b2</x:v>
      </x:c>
      <x:c r="I157" s="20" t="str"/>
      <x:c r="J157" s="20" t="str">
        <x:v>Covered</x:v>
      </x:c>
      <x:c r="K157" s="53" t="str">
        <x:v>https://dokumen.pub/english-file-upper-intermediate-teachers-guide-fourthnbsped-9780194039819.html</x:v>
      </x:c>
    </x:row>
    <x:row r="158">
      <x:c r="A158" s="20" t="str">
        <x:v>Upper-Intermediate</x:v>
      </x:c>
      <x:c r="B158" s="20" t="str">
        <x:v>B2</x:v>
      </x:c>
      <x:c r="C158" s="20" t="n">
        <x:v>9</x:v>
      </x:c>
      <x:c r="D158" s="20" t="str">
        <x:v>9B</x:v>
      </x:c>
      <x:c r="E158" s="20" t="str">
        <x:v>uncountable and plural nouns</x:v>
      </x:c>
      <x:c r="F158" s="20" t="str">
        <x:v>Direct</x:v>
      </x:c>
      <x:c r="G158" s="20" t="str">
        <x:v>Countable and Uncountable Nouns</x:v>
      </x:c>
      <x:c r="H158" s="20" t="str">
        <x:v>b2</x:v>
      </x:c>
      <x:c r="I158" s="20" t="str"/>
      <x:c r="J158" s="20" t="str">
        <x:v>Covered</x:v>
      </x:c>
      <x:c r="K158" s="53" t="str">
        <x:v>https://dokumen.pub/english-file-upper-intermediate-teachers-guide-fourthnbsped-9780194039819.html</x:v>
      </x:c>
    </x:row>
    <x:row r="159">
      <x:c r="A159" s="20" t="str">
        <x:v>Upper-Intermediate</x:v>
      </x:c>
      <x:c r="B159" s="20" t="str">
        <x:v>B2</x:v>
      </x:c>
      <x:c r="C159" s="20" t="n">
        <x:v>10</x:v>
      </x:c>
      <x:c r="D159" s="20" t="str">
        <x:v>10A</x:v>
      </x:c>
      <x:c r="E159" s="20" t="str">
        <x:v>quantifiers: all, every, both, etc.</x:v>
      </x:c>
      <x:c r="F159" s="20" t="str">
        <x:v>Direct</x:v>
      </x:c>
      <x:c r="G159" s="20" t="str">
        <x:v>Quantifiers: All, Every, Both &amp; Neither</x:v>
      </x:c>
      <x:c r="H159" s="20" t="str">
        <x:v>b2</x:v>
      </x:c>
      <x:c r="I159" s="20" t="str"/>
      <x:c r="J159" s="20" t="str">
        <x:v>Covered</x:v>
      </x:c>
      <x:c r="K159" s="53" t="str">
        <x:v>https://dokumen.pub/english-file-upper-intermediate-teachers-guide-fourthnbsped-9780194039819.html</x:v>
      </x:c>
    </x:row>
    <x:row r="160">
      <x:c r="A160" s="20" t="str">
        <x:v>Upper-Intermediate</x:v>
      </x:c>
      <x:c r="B160" s="20" t="str">
        <x:v>B2</x:v>
      </x:c>
      <x:c r="C160" s="20" t="n">
        <x:v>10</x:v>
      </x:c>
      <x:c r="D160" s="20" t="str">
        <x:v>10B</x:v>
      </x:c>
      <x:c r="E160" s="20" t="str">
        <x:v>articles</x:v>
      </x:c>
      <x:c r="F160" s="20" t="str">
        <x:v>Direct</x:v>
      </x:c>
      <x:c r="G160" s="20" t="str">
        <x:v>Articles: Geography, Institutions &amp; Nuance</x:v>
      </x:c>
      <x:c r="H160" s="20" t="str">
        <x:v>b2</x:v>
      </x:c>
      <x:c r="I160" s="20" t="str"/>
      <x:c r="J160" s="20" t="str">
        <x:v>Covered</x:v>
      </x:c>
      <x:c r="K160" s="53" t="str">
        <x:v>https://dokumen.pub/english-file-upper-intermediate-teachers-guide-fourthnbsped-9780194039819.html</x:v>
      </x:c>
    </x:row>
    <x:row r="161">
      <x:c r="A161" s="20" t="str">
        <x:v>Advanced</x:v>
      </x:c>
      <x:c r="B161" s="20" t="str">
        <x:v>C1</x:v>
      </x:c>
      <x:c r="C161" s="20" t="n">
        <x:v>1</x:v>
      </x:c>
      <x:c r="D161" s="20" t="str">
        <x:v>1A</x:v>
      </x:c>
      <x:c r="E161" s="20" t="str">
        <x:v>have: lexical and grammatical uses</x:v>
      </x:c>
      <x:c r="F161" s="20" t="str">
        <x:v>Direct</x:v>
      </x:c>
      <x:c r="G161" s="20" t="str">
        <x:v>Advanced 'Have': Lexical &amp; Grammatical Uses</x:v>
      </x:c>
      <x:c r="H161" s="20" t="str">
        <x:v>c1</x:v>
      </x:c>
      <x:c r="I161" s="20" t="str"/>
      <x:c r="J161" s="20" t="str">
        <x:v>Covered</x:v>
      </x:c>
      <x:c r="K161" s="53" t="str">
        <x:v>https://theenglishfarm.com/sites/default/files/english_file_advanced_sample_pages.pdf</x:v>
      </x:c>
    </x:row>
    <x:row r="162">
      <x:c r="A162" s="20" t="str">
        <x:v>Advanced</x:v>
      </x:c>
      <x:c r="B162" s="20" t="str">
        <x:v>C1</x:v>
      </x:c>
      <x:c r="C162" s="20" t="n">
        <x:v>1</x:v>
      </x:c>
      <x:c r="D162" s="20" t="str">
        <x:v>1B</x:v>
      </x:c>
      <x:c r="E162" s="20" t="str">
        <x:v>discourse markers (1): linkers</x:v>
      </x:c>
      <x:c r="F162" s="20" t="str">
        <x:v>Direct</x:v>
      </x:c>
      <x:c r="G162" s="20" t="str">
        <x:v>Advanced Discourse Markers: Linkers</x:v>
      </x:c>
      <x:c r="H162" s="20" t="str">
        <x:v>c1</x:v>
      </x:c>
      <x:c r="I162" s="20" t="str"/>
      <x:c r="J162" s="20" t="str">
        <x:v>Covered</x:v>
      </x:c>
      <x:c r="K162" s="53" t="str">
        <x:v>https://theenglishfarm.com/sites/default/files/english_file_advanced_sample_pages.pdf</x:v>
      </x:c>
    </x:row>
    <x:row r="163">
      <x:c r="A163" s="20" t="str">
        <x:v>Advanced</x:v>
      </x:c>
      <x:c r="B163" s="20" t="str">
        <x:v>C1</x:v>
      </x:c>
      <x:c r="C163" s="20" t="n">
        <x:v>2</x:v>
      </x:c>
      <x:c r="D163" s="20" t="str">
        <x:v>2A</x:v>
      </x:c>
      <x:c r="E163" s="20" t="str">
        <x:v>the past: habitual events and specific incidents</x:v>
      </x:c>
      <x:c r="F163" s="20" t="str">
        <x:v>Direct</x:v>
      </x:c>
      <x:c r="G163" s="20" t="str">
        <x:v>The Past: Incidents and Habits</x:v>
      </x:c>
      <x:c r="H163" s="20" t="str">
        <x:v>c1</x:v>
      </x:c>
      <x:c r="I163" s="20" t="str"/>
      <x:c r="J163" s="20" t="str">
        <x:v>Covered</x:v>
      </x:c>
      <x:c r="K163" s="53" t="str">
        <x:v>https://theenglishfarm.com/sites/default/files/english_file_advanced_sample_pages.pdf</x:v>
      </x:c>
    </x:row>
    <x:row r="164">
      <x:c r="A164" s="20" t="str">
        <x:v>Advanced</x:v>
      </x:c>
      <x:c r="B164" s="20" t="str">
        <x:v>C1</x:v>
      </x:c>
      <x:c r="C164" s="20" t="n">
        <x:v>2</x:v>
      </x:c>
      <x:c r="D164" s="20" t="str">
        <x:v>2B</x:v>
      </x:c>
      <x:c r="E164" s="20" t="str">
        <x:v>pronouns</x:v>
      </x:c>
      <x:c r="F164" s="20" t="str">
        <x:v>Direct</x:v>
      </x:c>
      <x:c r="G164" s="20" t="str">
        <x:v>Advanced Pronouns: Generic, Reflexive, &amp; Preparatory Subjects</x:v>
      </x:c>
      <x:c r="H164" s="20" t="str">
        <x:v>c1</x:v>
      </x:c>
      <x:c r="I164" s="20" t="str"/>
      <x:c r="J164" s="20" t="str">
        <x:v>Covered</x:v>
      </x:c>
      <x:c r="K164" s="53" t="str">
        <x:v>https://theenglishfarm.com/sites/default/files/english_file_advanced_sample_pages.pdf</x:v>
      </x:c>
    </x:row>
    <x:row r="165">
      <x:c r="A165" s="20" t="str">
        <x:v>Advanced</x:v>
      </x:c>
      <x:c r="B165" s="20" t="str">
        <x:v>C1</x:v>
      </x:c>
      <x:c r="C165" s="20" t="n">
        <x:v>3</x:v>
      </x:c>
      <x:c r="D165" s="20" t="str">
        <x:v>3A</x:v>
      </x:c>
      <x:c r="E165" s="20" t="str">
        <x:v>get</x:v>
      </x:c>
      <x:c r="F165" s="20" t="str">
        <x:v>Direct</x:v>
      </x:c>
      <x:c r="G165" s="20" t="str">
        <x:v>Advanced 'Get': Syntax and Semantics</x:v>
      </x:c>
      <x:c r="H165" s="20" t="str">
        <x:v>c1</x:v>
      </x:c>
      <x:c r="I165" s="20" t="str"/>
      <x:c r="J165" s="20" t="str">
        <x:v>Covered</x:v>
      </x:c>
      <x:c r="K165" s="53" t="str">
        <x:v>https://theenglishfarm.com/sites/default/files/english_file_advanced_sample_pages.pdf</x:v>
      </x:c>
    </x:row>
    <x:row r="166">
      <x:c r="A166" s="20" t="str">
        <x:v>Advanced</x:v>
      </x:c>
      <x:c r="B166" s="20" t="str">
        <x:v>C1</x:v>
      </x:c>
      <x:c r="C166" s="20" t="n">
        <x:v>3</x:v>
      </x:c>
      <x:c r="D166" s="20" t="str">
        <x:v>3B</x:v>
      </x:c>
      <x:c r="E166" s="20" t="str">
        <x:v>discourse markers (2): adverbs and adverbial expressions</x:v>
      </x:c>
      <x:c r="F166" s="20" t="str">
        <x:v>Direct</x:v>
      </x:c>
      <x:c r="G166" s="20" t="str">
        <x:v>Discourse Markers: Adverbs &amp; Adverbial Expressions</x:v>
      </x:c>
      <x:c r="H166" s="20" t="str">
        <x:v>c1</x:v>
      </x:c>
      <x:c r="I166" s="20" t="str"/>
      <x:c r="J166" s="20" t="str">
        <x:v>Covered</x:v>
      </x:c>
      <x:c r="K166" s="53" t="str">
        <x:v>https://theenglishfarm.com/sites/default/files/english_file_advanced_sample_pages.pdf</x:v>
      </x:c>
    </x:row>
    <x:row r="167">
      <x:c r="A167" s="20" t="str">
        <x:v>Advanced</x:v>
      </x:c>
      <x:c r="B167" s="20" t="str">
        <x:v>C1</x:v>
      </x:c>
      <x:c r="C167" s="20" t="n">
        <x:v>4</x:v>
      </x:c>
      <x:c r="D167" s="20" t="str">
        <x:v>4A</x:v>
      </x:c>
      <x:c r="E167" s="20" t="str">
        <x:v>adding emphasis (1): inversion</x:v>
      </x:c>
      <x:c r="F167" s="20" t="str">
        <x:v>Direct</x:v>
      </x:c>
      <x:c r="G167" s="20" t="str">
        <x:v>Advanced Emphasis: Inversion</x:v>
      </x:c>
      <x:c r="H167" s="20" t="str">
        <x:v>c1</x:v>
      </x:c>
      <x:c r="I167" s="20" t="str"/>
      <x:c r="J167" s="20" t="str">
        <x:v>Covered</x:v>
      </x:c>
      <x:c r="K167" s="53" t="str">
        <x:v>https://theenglishfarm.com/sites/default/files/english_file_advanced_sample_pages.pdf</x:v>
      </x:c>
    </x:row>
    <x:row r="168">
      <x:c r="A168" s="20" t="str">
        <x:v>Advanced</x:v>
      </x:c>
      <x:c r="B168" s="20" t="str">
        <x:v>C1</x:v>
      </x:c>
      <x:c r="C168" s="20" t="n">
        <x:v>4</x:v>
      </x:c>
      <x:c r="D168" s="20" t="str">
        <x:v>4B</x:v>
      </x:c>
      <x:c r="E168" s="20" t="str">
        <x:v>speculation and deduction</x:v>
      </x:c>
      <x:c r="F168" s="20" t="str">
        <x:v>Direct</x:v>
      </x:c>
      <x:c r="G168" s="20" t="str">
        <x:v>Advanced Speculation and Deduction</x:v>
      </x:c>
      <x:c r="H168" s="20" t="str">
        <x:v>c1</x:v>
      </x:c>
      <x:c r="I168" s="20" t="str"/>
      <x:c r="J168" s="20" t="str">
        <x:v>Covered</x:v>
      </x:c>
      <x:c r="K168" s="53" t="str">
        <x:v>https://theenglishfarm.com/sites/default/files/english_file_advanced_sample_pages.pdf</x:v>
      </x:c>
    </x:row>
    <x:row r="169">
      <x:c r="A169" s="20" t="str">
        <x:v>Advanced</x:v>
      </x:c>
      <x:c r="B169" s="20" t="str">
        <x:v>C1</x:v>
      </x:c>
      <x:c r="C169" s="20" t="n">
        <x:v>5</x:v>
      </x:c>
      <x:c r="D169" s="20" t="str">
        <x:v>5A</x:v>
      </x:c>
      <x:c r="E169" s="20" t="str">
        <x:v>distancing</x:v>
      </x:c>
      <x:c r="F169" s="20" t="str">
        <x:v>Direct</x:v>
      </x:c>
      <x:c r="G169" s="20" t="str">
        <x:v>Advanced Distancing: Seem, Passive Reporting, &amp; Attribution</x:v>
      </x:c>
      <x:c r="H169" s="20" t="str">
        <x:v>c1</x:v>
      </x:c>
      <x:c r="I169" s="20" t="str"/>
      <x:c r="J169" s="20" t="str">
        <x:v>Covered</x:v>
      </x:c>
      <x:c r="K169" s="53" t="str">
        <x:v>https://theenglishfarm.com/sites/default/files/english_file_advanced_sample_pages.pdf</x:v>
      </x:c>
    </x:row>
    <x:row r="170">
      <x:c r="A170" s="20" t="str">
        <x:v>Advanced</x:v>
      </x:c>
      <x:c r="B170" s="20" t="str">
        <x:v>C1</x:v>
      </x:c>
      <x:c r="C170" s="20" t="n">
        <x:v>5</x:v>
      </x:c>
      <x:c r="D170" s="20" t="str">
        <x:v>5B</x:v>
      </x:c>
      <x:c r="E170" s="20" t="str">
        <x:v>unreal uses of past tenses</x:v>
      </x:c>
      <x:c r="F170" s="20" t="str">
        <x:v>Direct</x:v>
      </x:c>
      <x:c r="G170" s="20" t="str">
        <x:v>C1 Mastery: Unreal Past Tenses</x:v>
      </x:c>
      <x:c r="H170" s="20" t="str">
        <x:v>c1</x:v>
      </x:c>
      <x:c r="I170" s="20" t="str"/>
      <x:c r="J170" s="20" t="str">
        <x:v>Covered</x:v>
      </x:c>
      <x:c r="K170" s="53" t="str">
        <x:v>https://theenglishfarm.com/sites/default/files/english_file_advanced_sample_pages.pdf</x:v>
      </x:c>
    </x:row>
    <x:row r="171">
      <x:c r="A171" s="20" t="str">
        <x:v>Advanced</x:v>
      </x:c>
      <x:c r="B171" s="20" t="str">
        <x:v>C1</x:v>
      </x:c>
      <x:c r="C171" s="20" t="n">
        <x:v>6</x:v>
      </x:c>
      <x:c r="D171" s="20" t="str">
        <x:v>6A</x:v>
      </x:c>
      <x:c r="E171" s="20" t="str">
        <x:v>verb + object + infinitive or gerund</x:v>
      </x:c>
      <x:c r="F171" s="20" t="str">
        <x:v>Partial</x:v>
      </x:c>
      <x:c r="G171" s="20" t="str">
        <x:v>Gerunds and Infinitives: B2 Level</x:v>
      </x:c>
      <x:c r="H171" s="20" t="str">
        <x:v>b2</x:v>
      </x:c>
      <x:c r="I171" s="20" t="str">
        <x:v>A B2 verb-pattern test exists, but there is no focused C1 object-pattern test.</x:v>
      </x:c>
      <x:c r="J171" s="20" t="str">
        <x:v>Medium</x:v>
      </x:c>
      <x:c r="K171" s="53" t="str">
        <x:v>https://theenglishfarm.com/sites/default/files/english_file_advanced_sample_pages.pdf</x:v>
      </x:c>
    </x:row>
    <x:row r="172">
      <x:c r="A172" s="20" t="str">
        <x:v>Advanced</x:v>
      </x:c>
      <x:c r="B172" s="20" t="str">
        <x:v>C1</x:v>
      </x:c>
      <x:c r="C172" s="20" t="n">
        <x:v>6</x:v>
      </x:c>
      <x:c r="D172" s="20" t="str">
        <x:v>6B</x:v>
      </x:c>
      <x:c r="E172" s="20" t="str">
        <x:v>conditional sentences</x:v>
      </x:c>
      <x:c r="F172" s="20" t="str">
        <x:v>Adjacent level</x:v>
      </x:c>
      <x:c r="G172" s="20" t="str">
        <x:v>Unreal Conditionals: 2nd, 3rd &amp; Mixed | Logic of the Future: Conditionals &amp; Time Clauses</x:v>
      </x:c>
      <x:c r="H172" s="20" t="str">
        <x:v>b2</x:v>
      </x:c>
      <x:c r="I172" s="20" t="str">
        <x:v>Conditionals exist at B2, not as an Advanced/C1 refinement.</x:v>
      </x:c>
      <x:c r="J172" s="20" t="str">
        <x:v>Medium</x:v>
      </x:c>
      <x:c r="K172" s="53" t="str">
        <x:v>https://theenglishfarm.com/sites/default/files/english_file_advanced_sample_pages.pdf</x:v>
      </x:c>
    </x:row>
    <x:row r="173">
      <x:c r="A173" s="20" t="str">
        <x:v>Advanced</x:v>
      </x:c>
      <x:c r="B173" s="20" t="str">
        <x:v>C1</x:v>
      </x:c>
      <x:c r="C173" s="20" t="n">
        <x:v>7</x:v>
      </x:c>
      <x:c r="D173" s="20" t="str">
        <x:v>7A</x:v>
      </x:c>
      <x:c r="E173" s="20" t="str">
        <x:v>permission, obligation, and necessity</x:v>
      </x:c>
      <x:c r="F173" s="20" t="str">
        <x:v>Adjacent level</x:v>
      </x:c>
      <x:c r="G173" s="20" t="str">
        <x:v>Modals: Obligation and Prohibition | Past Modals: Deduction &amp; Regret</x:v>
      </x:c>
      <x:c r="H173" s="20" t="str">
        <x:v>b1, b2</x:v>
      </x:c>
      <x:c r="I173" s="20" t="str"/>
      <x:c r="J173" s="20" t="str">
        <x:v>Medium</x:v>
      </x:c>
      <x:c r="K173" s="53" t="str">
        <x:v>https://theenglishfarm.com/sites/default/files/english_file_advanced_sample_pages.pdf</x:v>
      </x:c>
    </x:row>
    <x:row r="174">
      <x:c r="A174" s="20" t="str">
        <x:v>Advanced</x:v>
      </x:c>
      <x:c r="B174" s="20" t="str">
        <x:v>C1</x:v>
      </x:c>
      <x:c r="C174" s="20" t="n">
        <x:v>7</x:v>
      </x:c>
      <x:c r="D174" s="20" t="str">
        <x:v>7B</x:v>
      </x:c>
      <x:c r="E174" s="20" t="str">
        <x:v>perception and sensation</x:v>
      </x:c>
      <x:c r="F174" s="20" t="str">
        <x:v>Adjacent level</x:v>
      </x:c>
      <x:c r="G174" s="20" t="str">
        <x:v>Verbs of the Senses</x:v>
      </x:c>
      <x:c r="H174" s="20" t="str">
        <x:v>b2</x:v>
      </x:c>
      <x:c r="I174" s="20" t="str"/>
      <x:c r="J174" s="20" t="str">
        <x:v>Medium</x:v>
      </x:c>
      <x:c r="K174" s="53" t="str">
        <x:v>https://theenglishfarm.com/sites/default/files/english_file_advanced_sample_pages.pdf</x:v>
      </x:c>
    </x:row>
    <x:row r="175">
      <x:c r="A175" s="20" t="str">
        <x:v>Advanced</x:v>
      </x:c>
      <x:c r="B175" s="20" t="str">
        <x:v>C1</x:v>
      </x:c>
      <x:c r="C175" s="20" t="n">
        <x:v>8</x:v>
      </x:c>
      <x:c r="D175" s="20" t="str">
        <x:v>8A</x:v>
      </x:c>
      <x:c r="E175" s="20" t="str">
        <x:v>advanced gerunds and infinitives</x:v>
      </x:c>
      <x:c r="F175" s="20" t="str">
        <x:v>Adjacent level</x:v>
      </x:c>
      <x:c r="G175" s="20" t="str">
        <x:v>Gerunds and Infinitives: B2 Level</x:v>
      </x:c>
      <x:c r="H175" s="20" t="str">
        <x:v>b2</x:v>
      </x:c>
      <x:c r="I175" s="20" t="str"/>
      <x:c r="J175" s="20" t="str">
        <x:v>Medium</x:v>
      </x:c>
      <x:c r="K175" s="53" t="str">
        <x:v>https://theenglishfarm.com/sites/default/files/english_file_advanced_sample_pages.pdf</x:v>
      </x:c>
    </x:row>
    <x:row r="176">
      <x:c r="A176" s="20" t="str">
        <x:v>Advanced</x:v>
      </x:c>
      <x:c r="B176" s="20" t="str">
        <x:v>C1</x:v>
      </x:c>
      <x:c r="C176" s="20" t="n">
        <x:v>8</x:v>
      </x:c>
      <x:c r="D176" s="20" t="str">
        <x:v>8B</x:v>
      </x:c>
      <x:c r="E176" s="20" t="str">
        <x:v>expressing future plans and arrangements</x:v>
      </x:c>
      <x:c r="F176" s="20" t="str">
        <x:v>Adjacent level</x:v>
      </x:c>
      <x:c r="G176" s="20" t="str">
        <x:v>Future Forms | Future Continuous vs. Future Perfect</x:v>
      </x:c>
      <x:c r="H176" s="20" t="str">
        <x:v>b1, b2</x:v>
      </x:c>
      <x:c r="I176" s="20" t="str"/>
      <x:c r="J176" s="20" t="str">
        <x:v>Medium</x:v>
      </x:c>
      <x:c r="K176" s="53" t="str">
        <x:v>https://theenglishfarm.com/sites/default/files/english_file_advanced_sample_pages.pdf</x:v>
      </x:c>
    </x:row>
    <x:row r="177">
      <x:c r="A177" s="20" t="str">
        <x:v>Advanced</x:v>
      </x:c>
      <x:c r="B177" s="20" t="str">
        <x:v>C1</x:v>
      </x:c>
      <x:c r="C177" s="20" t="n">
        <x:v>9</x:v>
      </x:c>
      <x:c r="D177" s="20" t="str">
        <x:v>9A</x:v>
      </x:c>
      <x:c r="E177" s="20" t="str">
        <x:v>ellipsis</x:v>
      </x:c>
      <x:c r="F177" s="20" t="str">
        <x:v>Missing</x:v>
      </x:c>
      <x:c r="G177" s="20" t="str"/>
      <x:c r="H177" s="20" t="str"/>
      <x:c r="I177" s="20" t="str"/>
      <x:c r="J177" s="20" t="str">
        <x:v>High</x:v>
      </x:c>
      <x:c r="K177" s="53" t="str">
        <x:v>https://theenglishfarm.com/sites/default/files/english_file_advanced_sample_pages.pdf</x:v>
      </x:c>
    </x:row>
    <x:row r="178">
      <x:c r="A178" s="20" t="str">
        <x:v>Advanced</x:v>
      </x:c>
      <x:c r="B178" s="20" t="str">
        <x:v>C1</x:v>
      </x:c>
      <x:c r="C178" s="20" t="n">
        <x:v>9</x:v>
      </x:c>
      <x:c r="D178" s="20" t="str">
        <x:v>9B</x:v>
      </x:c>
      <x:c r="E178" s="20" t="str">
        <x:v>nouns: compound and possessive forms</x:v>
      </x:c>
      <x:c r="F178" s="20" t="str">
        <x:v>Missing</x:v>
      </x:c>
      <x:c r="G178" s="20" t="str"/>
      <x:c r="H178" s="20" t="str"/>
      <x:c r="I178" s="20" t="str"/>
      <x:c r="J178" s="20" t="str">
        <x:v>High</x:v>
      </x:c>
      <x:c r="K178" s="53" t="str">
        <x:v>https://theenglishfarm.com/sites/default/files/english_file_advanced_sample_pages.pdf</x:v>
      </x:c>
    </x:row>
    <x:row r="179">
      <x:c r="A179" s="20" t="str">
        <x:v>Advanced</x:v>
      </x:c>
      <x:c r="B179" s="20" t="str">
        <x:v>C1</x:v>
      </x:c>
      <x:c r="C179" s="20" t="n">
        <x:v>10</x:v>
      </x:c>
      <x:c r="D179" s="20" t="str">
        <x:v>10A</x:v>
      </x:c>
      <x:c r="E179" s="20" t="str">
        <x:v>relative clauses</x:v>
      </x:c>
      <x:c r="F179" s="20" t="str">
        <x:v>Adjacent level</x:v>
      </x:c>
      <x:c r="G179" s="20" t="str">
        <x:v>Relative Clauses</x:v>
      </x:c>
      <x:c r="H179" s="20" t="str">
        <x:v>b1</x:v>
      </x:c>
      <x:c r="I179" s="20" t="str">
        <x:v>Relative-clause practice exists at B1, not at C1 depth.</x:v>
      </x:c>
      <x:c r="J179" s="20" t="str">
        <x:v>Medium</x:v>
      </x:c>
      <x:c r="K179" s="53" t="str">
        <x:v>https://theenglishfarm.com/sites/default/files/english_file_advanced_sample_pages.pdf</x:v>
      </x:c>
    </x:row>
    <x:row r="180">
      <x:c r="A180" s="20" t="str">
        <x:v>Advanced</x:v>
      </x:c>
      <x:c r="B180" s="20" t="str">
        <x:v>C1</x:v>
      </x:c>
      <x:c r="C180" s="20" t="n">
        <x:v>10</x:v>
      </x:c>
      <x:c r="D180" s="20" t="str">
        <x:v>10B</x:v>
      </x:c>
      <x:c r="E180" s="20" t="str">
        <x:v>adding emphasis (2): cleft sentences</x:v>
      </x:c>
      <x:c r="F180" s="20" t="str">
        <x:v>Missing</x:v>
      </x:c>
      <x:c r="G180" s="20" t="str"/>
      <x:c r="H180" s="20" t="str"/>
      <x:c r="I180" s="20" t="str"/>
      <x:c r="J180" s="20" t="str">
        <x:v>High</x:v>
      </x:c>
      <x:c r="K180" s="53" t="str">
        <x:v>https://theenglishfarm.com/sites/default/files/english_file_advanced_sample_pages.pdf</x:v>
      </x:c>
    </x:row>
    <x:row r="181">
      <x:c r="A181" s="20" t="str">
        <x:v>Advanced Plus</x:v>
      </x:c>
      <x:c r="B181" s="20" t="str">
        <x:v>C1+</x:v>
      </x:c>
      <x:c r="C181" s="20" t="n">
        <x:v>1</x:v>
      </x:c>
      <x:c r="D181" s="20" t="str">
        <x:v>1A</x:v>
      </x:c>
      <x:c r="E181" s="20" t="str">
        <x:v>modal verbs (1): will, would, should</x:v>
      </x:c>
      <x:c r="F181" s="20" t="str">
        <x:v>Adjacent level</x:v>
      </x:c>
      <x:c r="G181" s="20" t="str">
        <x:v>Will and Shall: Decisions and Offers | Giving Advice: Should and Shouldn't | Past Modals: Deduction &amp; Regret</x:v>
      </x:c>
      <x:c r="H181" s="20" t="str">
        <x:v>a2, b1, b2</x:v>
      </x:c>
      <x:c r="I181" s="20" t="str"/>
      <x:c r="J181" s="20" t="str">
        <x:v>Medium</x:v>
      </x:c>
      <x:c r="K181" s="53" t="str">
        <x:v>https://studylib.net/doc/28242501/english-file-4e-advanced-plus--teachers-guide</x:v>
      </x:c>
    </x:row>
    <x:row r="182">
      <x:c r="A182" s="20" t="str">
        <x:v>Advanced Plus</x:v>
      </x:c>
      <x:c r="B182" s="20" t="str">
        <x:v>C1+</x:v>
      </x:c>
      <x:c r="C182" s="20" t="n">
        <x:v>1</x:v>
      </x:c>
      <x:c r="D182" s="20" t="str">
        <x:v>1B</x:v>
      </x:c>
      <x:c r="E182" s="20" t="str">
        <x:v>noun phrases</x:v>
      </x:c>
      <x:c r="F182" s="20" t="str">
        <x:v>Missing</x:v>
      </x:c>
      <x:c r="G182" s="20" t="str"/>
      <x:c r="H182" s="20" t="str"/>
      <x:c r="I182" s="20" t="str"/>
      <x:c r="J182" s="20" t="str">
        <x:v>High</x:v>
      </x:c>
      <x:c r="K182" s="53" t="str">
        <x:v>https://studylib.net/doc/28242501/english-file-4e-advanced-plus--teachers-guide</x:v>
      </x:c>
    </x:row>
    <x:row r="183">
      <x:c r="A183" s="20" t="str">
        <x:v>Advanced Plus</x:v>
      </x:c>
      <x:c r="B183" s="20" t="str">
        <x:v>C1+</x:v>
      </x:c>
      <x:c r="C183" s="20" t="n">
        <x:v>2</x:v>
      </x:c>
      <x:c r="D183" s="20" t="str">
        <x:v>2A</x:v>
      </x:c>
      <x:c r="E183" s="20" t="str">
        <x:v>modal verbs (2): can / could / be able to; may / might</x:v>
      </x:c>
      <x:c r="F183" s="20" t="str">
        <x:v>Adjacent level</x:v>
      </x:c>
      <x:c r="G183" s="20" t="str">
        <x:v>Ability: Can, Could, or Be Able To? | Possibility: might and might not</x:v>
      </x:c>
      <x:c r="H183" s="20" t="str">
        <x:v>b1, a2</x:v>
      </x:c>
      <x:c r="I183" s="20" t="str"/>
      <x:c r="J183" s="20" t="str">
        <x:v>Medium</x:v>
      </x:c>
      <x:c r="K183" s="53" t="str">
        <x:v>https://studylib.net/doc/28242501/english-file-4e-advanced-plus--teachers-guide</x:v>
      </x:c>
    </x:row>
    <x:row r="184">
      <x:c r="A184" s="20" t="str">
        <x:v>Advanced Plus</x:v>
      </x:c>
      <x:c r="B184" s="20" t="str">
        <x:v>C1+</x:v>
      </x:c>
      <x:c r="C184" s="20" t="n">
        <x:v>2</x:v>
      </x:c>
      <x:c r="D184" s="20" t="str">
        <x:v>2B</x:v>
      </x:c>
      <x:c r="E184" s="20" t="str">
        <x:v>participle clauses</x:v>
      </x:c>
      <x:c r="F184" s="20" t="str">
        <x:v>Missing</x:v>
      </x:c>
      <x:c r="G184" s="20" t="str"/>
      <x:c r="H184" s="20" t="str"/>
      <x:c r="I184" s="20" t="str"/>
      <x:c r="J184" s="20" t="str">
        <x:v>High</x:v>
      </x:c>
      <x:c r="K184" s="53" t="str">
        <x:v>https://studylib.net/doc/28242501/english-file-4e-advanced-plus--teachers-guide</x:v>
      </x:c>
    </x:row>
    <x:row r="185">
      <x:c r="A185" s="20" t="str">
        <x:v>Advanced Plus</x:v>
      </x:c>
      <x:c r="B185" s="20" t="str">
        <x:v>C1+</x:v>
      </x:c>
      <x:c r="C185" s="20" t="n">
        <x:v>3</x:v>
      </x:c>
      <x:c r="D185" s="20" t="str">
        <x:v>3A</x:v>
      </x:c>
      <x:c r="E185" s="20" t="str">
        <x:v>determiners: articles and quantifiers</x:v>
      </x:c>
      <x:c r="F185" s="20" t="str">
        <x:v>Adjacent level</x:v>
      </x:c>
      <x:c r="G185" s="20" t="str">
        <x:v>Articles: Geography, Institutions &amp; Nuance | Quantifiers: All, Every, Both &amp; Neither</x:v>
      </x:c>
      <x:c r="H185" s="20" t="str">
        <x:v>b2</x:v>
      </x:c>
      <x:c r="I185" s="20" t="str"/>
      <x:c r="J185" s="20" t="str">
        <x:v>Medium</x:v>
      </x:c>
      <x:c r="K185" s="53" t="str">
        <x:v>https://studylib.net/doc/28242501/english-file-4e-advanced-plus--teachers-guide</x:v>
      </x:c>
    </x:row>
    <x:row r="186">
      <x:c r="A186" s="20" t="str">
        <x:v>Advanced Plus</x:v>
      </x:c>
      <x:c r="B186" s="20" t="str">
        <x:v>C1+</x:v>
      </x:c>
      <x:c r="C186" s="20" t="n">
        <x:v>3</x:v>
      </x:c>
      <x:c r="D186" s="20" t="str">
        <x:v>3B</x:v>
      </x:c>
      <x:c r="E186" s="20" t="str">
        <x:v>word order</x:v>
      </x:c>
      <x:c r="F186" s="20" t="str">
        <x:v>Missing</x:v>
      </x:c>
      <x:c r="G186" s="20" t="str">
        <x:v>Question Formation: Direct &amp; Indirect</x:v>
      </x:c>
      <x:c r="H186" s="20" t="str">
        <x:v>b2</x:v>
      </x:c>
      <x:c r="I186" s="20" t="str">
        <x:v>Question word order is not the same as advanced clause-level word order.</x:v>
      </x:c>
      <x:c r="J186" s="20" t="str">
        <x:v>High</x:v>
      </x:c>
      <x:c r="K186" s="53" t="str">
        <x:v>https://studylib.net/doc/28242501/english-file-4e-advanced-plus--teachers-guide</x:v>
      </x:c>
    </x:row>
    <x:row r="187">
      <x:c r="A187" s="20" t="str">
        <x:v>Advanced Plus</x:v>
      </x:c>
      <x:c r="B187" s="20" t="str">
        <x:v>C1+</x:v>
      </x:c>
      <x:c r="C187" s="20" t="n">
        <x:v>4</x:v>
      </x:c>
      <x:c r="D187" s="20" t="str">
        <x:v>4A</x:v>
      </x:c>
      <x:c r="E187" s="20" t="str">
        <x:v>cause and effect</x:v>
      </x:c>
      <x:c r="F187" s="20" t="str">
        <x:v>Adjacent level</x:v>
      </x:c>
      <x:c r="G187" s="20" t="str">
        <x:v>Connectors: Reason, Result &amp; Contrast | Advanced Discourse Markers: Linkers</x:v>
      </x:c>
      <x:c r="H187" s="20" t="str">
        <x:v>a2, b1, c1</x:v>
      </x:c>
      <x:c r="I187" s="20" t="str"/>
      <x:c r="J187" s="20" t="str">
        <x:v>Medium</x:v>
      </x:c>
      <x:c r="K187" s="53" t="str">
        <x:v>https://studylib.net/doc/28242501/english-file-4e-advanced-plus--teachers-guide</x:v>
      </x:c>
    </x:row>
    <x:row r="188">
      <x:c r="A188" s="20" t="str">
        <x:v>Advanced Plus</x:v>
      </x:c>
      <x:c r="B188" s="20" t="str">
        <x:v>C1+</x:v>
      </x:c>
      <x:c r="C188" s="20" t="n">
        <x:v>4</x:v>
      </x:c>
      <x:c r="D188" s="20" t="str">
        <x:v>4B</x:v>
      </x:c>
      <x:c r="E188" s="20" t="str">
        <x:v>aspect: perfect and continuous tenses</x:v>
      </x:c>
      <x:c r="F188" s="20" t="str">
        <x:v>Adjacent level</x:v>
      </x:c>
      <x:c r="G188" s="20" t="str">
        <x:v>Present Perfect Simple or Continuous | The Past: Incidents and Habits</x:v>
      </x:c>
      <x:c r="H188" s="20" t="str">
        <x:v>b1, b2, c1</x:v>
      </x:c>
      <x:c r="I188" s="20" t="str"/>
      <x:c r="J188" s="20" t="str">
        <x:v>Medium</x:v>
      </x:c>
      <x:c r="K188" s="53" t="str">
        <x:v>https://studylib.net/doc/28242501/english-file-4e-advanced-plus--teachers-guide</x:v>
      </x:c>
    </x:row>
    <x:row r="189">
      <x:c r="A189" s="20" t="str">
        <x:v>Advanced Plus</x:v>
      </x:c>
      <x:c r="B189" s="20" t="str">
        <x:v>C1+</x:v>
      </x:c>
      <x:c r="C189" s="20" t="n">
        <x:v>5</x:v>
      </x:c>
      <x:c r="D189" s="20" t="str">
        <x:v>5A</x:v>
      </x:c>
      <x:c r="E189" s="20" t="str">
        <x:v>prepositions and sentence patterns</x:v>
      </x:c>
      <x:c r="F189" s="20" t="str">
        <x:v>Missing</x:v>
      </x:c>
      <x:c r="G189" s="20" t="str"/>
      <x:c r="H189" s="20" t="str"/>
      <x:c r="I189" s="20" t="str"/>
      <x:c r="J189" s="20" t="str">
        <x:v>High</x:v>
      </x:c>
      <x:c r="K189" s="53" t="str">
        <x:v>https://studylib.net/doc/28242501/english-file-4e-advanced-plus--teachers-guide</x:v>
      </x:c>
    </x:row>
    <x:row r="190">
      <x:c r="A190" s="20" t="str">
        <x:v>Advanced Plus</x:v>
      </x:c>
      <x:c r="B190" s="20" t="str">
        <x:v>C1+</x:v>
      </x:c>
      <x:c r="C190" s="20" t="n">
        <x:v>5</x:v>
      </x:c>
      <x:c r="D190" s="20" t="str">
        <x:v>5B</x:v>
      </x:c>
      <x:c r="E190" s="20" t="str">
        <x:v>advanced structures for comparing and contrasting</x:v>
      </x:c>
      <x:c r="F190" s="20" t="str">
        <x:v>Adjacent level</x:v>
      </x:c>
      <x:c r="G190" s="20" t="str">
        <x:v>Comparatives and Superlatives | Contrast and Purpose</x:v>
      </x:c>
      <x:c r="H190" s="20" t="str">
        <x:v>b1, b2</x:v>
      </x:c>
      <x:c r="I190" s="20" t="str"/>
      <x:c r="J190" s="20" t="str">
        <x:v>Medium</x:v>
      </x:c>
      <x:c r="K190" s="53" t="str">
        <x:v>https://studylib.net/doc/28242501/english-file-4e-advanced-plus--teachers-guide</x:v>
      </x:c>
    </x:row>
    <x:row r="191">
      <x:c r="A191" s="20" t="str">
        <x:v>Advanced Plus</x:v>
      </x:c>
      <x:c r="B191" s="20" t="str">
        <x:v>C1+</x:v>
      </x:c>
      <x:c r="C191" s="20" t="n">
        <x:v>6</x:v>
      </x:c>
      <x:c r="D191" s="20" t="str">
        <x:v>6A</x:v>
      </x:c>
      <x:c r="E191" s="20" t="str">
        <x:v>position of adverbs</x:v>
      </x:c>
      <x:c r="F191" s="20" t="str">
        <x:v>Adjacent level</x:v>
      </x:c>
      <x:c r="G191" s="20" t="str">
        <x:v>Adverb Position: B2 Practice | Discourse Markers: Adverbs &amp; Adverbial Expressions</x:v>
      </x:c>
      <x:c r="H191" s="20" t="str">
        <x:v>b2, c1</x:v>
      </x:c>
      <x:c r="I191" s="20" t="str"/>
      <x:c r="J191" s="20" t="str">
        <x:v>Medium</x:v>
      </x:c>
      <x:c r="K191" s="53" t="str">
        <x:v>https://studylib.net/doc/28242501/english-file-4e-advanced-plus--teachers-guide</x:v>
      </x:c>
    </x:row>
    <x:row r="192">
      <x:c r="A192" s="20" t="str">
        <x:v>Advanced Plus</x:v>
      </x:c>
      <x:c r="B192" s="20" t="str">
        <x:v>C1+</x:v>
      </x:c>
      <x:c r="C192" s="20" t="n">
        <x:v>6</x:v>
      </x:c>
      <x:c r="D192" s="20" t="str">
        <x:v>6B</x:v>
      </x:c>
      <x:c r="E192" s="20" t="str">
        <x:v>singular and plural agreement</x:v>
      </x:c>
      <x:c r="F192" s="20" t="str">
        <x:v>Missing</x:v>
      </x:c>
      <x:c r="G192" s="20" t="str"/>
      <x:c r="H192" s="20" t="str"/>
      <x:c r="I192" s="20" t="str"/>
      <x:c r="J192" s="20" t="str">
        <x:v>High</x:v>
      </x:c>
      <x:c r="K192" s="53" t="str">
        <x:v>https://studylib.net/doc/28242501/english-file-4e-advanced-plus--teachers-guide</x:v>
      </x:c>
    </x:row>
    <x:row r="193">
      <x:c r="A193" s="20" t="str">
        <x:v>Advanced Plus</x:v>
      </x:c>
      <x:c r="B193" s="20" t="str">
        <x:v>C1+</x:v>
      </x:c>
      <x:c r="C193" s="20" t="n">
        <x:v>7</x:v>
      </x:c>
      <x:c r="D193" s="20" t="str">
        <x:v>7A</x:v>
      </x:c>
      <x:c r="E193" s="20" t="str">
        <x:v>complex passive forms</x:v>
      </x:c>
      <x:c r="F193" s="20" t="str">
        <x:v>Adjacent level</x:v>
      </x:c>
      <x:c r="G193" s="20" t="str">
        <x:v>The Passive: Advanced Forms</x:v>
      </x:c>
      <x:c r="H193" s="20" t="str">
        <x:v>b2</x:v>
      </x:c>
      <x:c r="I193" s="20" t="str"/>
      <x:c r="J193" s="20" t="str">
        <x:v>Medium</x:v>
      </x:c>
      <x:c r="K193" s="53" t="str">
        <x:v>https://studylib.net/doc/28242501/english-file-4e-advanced-plus--teachers-guide</x:v>
      </x:c>
    </x:row>
    <x:row r="194">
      <x:c r="A194" s="20" t="str">
        <x:v>Advanced Plus</x:v>
      </x:c>
      <x:c r="B194" s="20" t="str">
        <x:v>C1+</x:v>
      </x:c>
      <x:c r="C194" s="20" t="n">
        <x:v>7</x:v>
      </x:c>
      <x:c r="D194" s="20" t="str">
        <x:v>7B</x:v>
      </x:c>
      <x:c r="E194" s="20" t="str">
        <x:v>special uses of tenses</x:v>
      </x:c>
      <x:c r="F194" s="20" t="str">
        <x:v>Missing</x:v>
      </x:c>
      <x:c r="G194" s="20" t="str"/>
      <x:c r="H194" s="20" t="str"/>
      <x:c r="I194" s="20" t="str"/>
      <x:c r="J194" s="20" t="str">
        <x:v>High</x:v>
      </x:c>
      <x:c r="K194" s="53" t="str">
        <x:v>https://studylib.net/doc/28242501/english-file-4e-advanced-plus--teachers-guide</x:v>
      </x:c>
    </x:row>
    <x:row r="195">
      <x:c r="A195" s="20" t="str">
        <x:v>Advanced Plus</x:v>
      </x:c>
      <x:c r="B195" s="20" t="str">
        <x:v>C1+</x:v>
      </x:c>
      <x:c r="C195" s="20" t="n">
        <x:v>8</x:v>
      </x:c>
      <x:c r="D195" s="20" t="str">
        <x:v>8A</x:v>
      </x:c>
      <x:c r="E195" s="20" t="str">
        <x:v>expressing conditionality</x:v>
      </x:c>
      <x:c r="F195" s="20" t="str">
        <x:v>Adjacent level</x:v>
      </x:c>
      <x:c r="G195" s="20" t="str">
        <x:v>Unreal Conditionals: 2nd, 3rd &amp; Mixed | Logic of the Future: Conditionals &amp; Time Clauses</x:v>
      </x:c>
      <x:c r="H195" s="20" t="str">
        <x:v>b2</x:v>
      </x:c>
      <x:c r="I195" s="20" t="str"/>
      <x:c r="J195" s="20" t="str">
        <x:v>Medium</x:v>
      </x:c>
      <x:c r="K195" s="53" t="str">
        <x:v>https://studylib.net/doc/28242501/english-file-4e-advanced-plus--teachers-guide</x:v>
      </x:c>
    </x:row>
    <x:row r="196">
      <x:c r="A196" s="20" t="str">
        <x:v>Advanced Plus</x:v>
      </x:c>
      <x:c r="B196" s="20" t="str">
        <x:v>C1+</x:v>
      </x:c>
      <x:c r="C196" s="20" t="n">
        <x:v>8</x:v>
      </x:c>
      <x:c r="D196" s="20" t="str">
        <x:v>8B</x:v>
      </x:c>
      <x:c r="E196" s="20" t="str">
        <x:v>adjective order</x:v>
      </x:c>
      <x:c r="F196" s="20" t="str">
        <x:v>Adjacent level</x:v>
      </x:c>
      <x:c r="G196" s="20" t="str">
        <x:v>Adjectives: Order, Groups, and -ed/-ing</x:v>
      </x:c>
      <x:c r="H196" s="20" t="str">
        <x:v>b2</x:v>
      </x:c>
      <x:c r="I196" s="20" t="str"/>
      <x:c r="J196" s="20" t="str">
        <x:v>Medium</x:v>
      </x:c>
      <x:c r="K196" s="53" t="str">
        <x:v>https://studylib.net/doc/28242501/english-file-4e-advanced-plus--teachers-guide</x:v>
      </x:c>
    </x:row>
  </x:sheetData>
  <x:conditionalFormatting sqref="F5:F196">
    <x:cfRule type="containsText" dxfId="0" priority="1" operator="containsText" text="Direct"/>
    <x:cfRule type="containsText" dxfId="1" priority="2" operator="containsText" text="Partial"/>
    <x:cfRule type="containsText" dxfId="2" priority="3" operator="containsText" text="Adjacent"/>
    <x:cfRule type="containsText" dxfId="3" priority="4" operator="containsText" text="Missing"/>
  </x:conditionalFormatting>
  <x:conditionalFormatting sqref="J5:J196">
    <x:cfRule type="containsText" dxfId="4" priority="5" operator="containsText" text="High"/>
    <x:cfRule type="containsText" dxfId="5" priority="6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d3c70a8fe67a4c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38" hidden="0" customWidth="1"/>
    <x:col min="3" max="3" width="13" hidden="0" customWidth="1"/>
    <x:col min="4" max="4" width="9" hidden="0" customWidth="1"/>
    <x:col min="5" max="5" width="46" hidden="0" customWidth="1"/>
    <x:col min="6" max="6" width="58" hidden="0" customWidth="1"/>
    <x:col min="7" max="7" width="24" hidden="0" customWidth="1"/>
    <x:col min="8" max="8" width="18" hidden="0" customWidth="1"/>
    <x:col min="9" max="9" width="34" hidden="0" customWidth="1"/>
  </x:cols>
  <x:sheetData>
    <x:row r="1">
      <x:c r="A1" s="2" t="str">
        <x:v>Mini Grammar Test inventory</x:v>
      </x:c>
      <x:c r="B1" s="43"/>
      <x:c r="C1" s="43"/>
      <x:c r="D1" s="43"/>
      <x:c r="E1" s="43"/>
      <x:c r="F1" s="43"/>
      <x:c r="G1" s="43"/>
      <x:c r="H1" s="43"/>
      <x:c r="I1" s="43"/>
    </x:row>
    <x:row r="2">
      <x:c r="A2" s="3" t="str">
        <x:v>Repository snapshot from src/data/hubGrammarActivities.js on 2026-09-30.</x:v>
      </x:c>
      <x:c r="B2" s="44"/>
      <x:c r="C2" s="44"/>
      <x:c r="D2" s="44"/>
      <x:c r="E2" s="44"/>
      <x:c r="F2" s="44"/>
      <x:c r="G2" s="44"/>
      <x:c r="H2" s="44"/>
      <x:c r="I2" s="44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34" customHeight="1">
      <x:c r="A4" s="15" t="str">
        <x:v>Test ID</x:v>
      </x:c>
      <x:c r="B4" s="16" t="str">
        <x:v>Title</x:v>
      </x:c>
      <x:c r="C4" s="16" t="str">
        <x:v>CEFR tags</x:v>
      </x:c>
      <x:c r="D4" s="16" t="str">
        <x:v>Items</x:v>
      </x:c>
      <x:c r="E4" s="16" t="str">
        <x:v>Short description</x:v>
      </x:c>
      <x:c r="F4" s="16" t="str">
        <x:v>Mapped English File references</x:v>
      </x:c>
      <x:c r="G4" s="16" t="str">
        <x:v>Overlap family</x:v>
      </x:c>
      <x:c r="H4" s="16" t="str">
        <x:v>Directly used in map?</x:v>
      </x:c>
      <x:c r="I4" s="17" t="str">
        <x:v>Repository source</x:v>
      </x:c>
    </x:row>
    <x:row r="5">
      <x:c r="A5" s="20" t="str">
        <x:v>second-conditional-reformulation</x:v>
      </x:c>
      <x:c r="B5" s="20" t="str">
        <x:v>Second Conditional Reformulation</x:v>
      </x:c>
      <x:c r="C5" s="20" t="str">
        <x:v>b1, b2</x:v>
      </x:c>
      <x:c r="D5" s="21" t="n">
        <x:v>10</x:v>
      </x:c>
      <x:c r="E5" s="20" t="str">
        <x:v>Rewrite each sentence using the second conditional.</x:v>
      </x:c>
      <x:c r="F5" s="20" t="str">
        <x:v>Pre-Intermediate 9A (Direct) | Intermediate 7B (Direct)</x:v>
      </x:c>
      <x:c r="G5" s="20" t="str">
        <x:v>Conditionals</x:v>
      </x:c>
      <x:c r="H5" s="20" t="str">
        <x:v>Yes</x:v>
      </x:c>
      <x:c r="I5" s="20" t="str">
        <x:v>src/data/hubGrammarActivities.js</x:v>
      </x:c>
    </x:row>
    <x:row r="6">
      <x:c r="A6" s="20" t="str">
        <x:v>used-to-forms</x:v>
      </x:c>
      <x:c r="B6" s="20" t="str">
        <x:v>Used To Forms</x:v>
      </x:c>
      <x:c r="C6" s="20" t="str">
        <x:v>b2</x:v>
      </x:c>
      <x:c r="D6" s="21" t="n">
        <x:v>13</x:v>
      </x:c>
      <x:c r="E6" s="20" t="str">
        <x:v>Practise used to, didn’t use to, and be used to.</x:v>
      </x:c>
      <x:c r="F6" s="20" t="str">
        <x:v>Upper-Intermediate 6A (Direct)</x:v>
      </x:c>
      <x:c r="G6" s="20" t="str">
        <x:v>Habits / used to</x:v>
      </x:c>
      <x:c r="H6" s="20" t="str">
        <x:v>Yes</x:v>
      </x:c>
      <x:c r="I6" s="20" t="str">
        <x:v>src/data/hubGrammarActivities.js</x:v>
      </x:c>
    </x:row>
    <x:row r="7">
      <x:c r="A7" s="20" t="str">
        <x:v>present-simple-or-continuous</x:v>
      </x:c>
      <x:c r="B7" s="20" t="str">
        <x:v>Present Simple or Continuous</x:v>
      </x:c>
      <x:c r="C7" s="20" t="str">
        <x:v>b1</x:v>
      </x:c>
      <x:c r="D7" s="21" t="n">
        <x:v>19</x:v>
      </x:c>
      <x:c r="E7" s="20" t="str">
        <x:v>Choose between present simple and present continuous.</x:v>
      </x:c>
      <x:c r="F7" s="20" t="str">
        <x:v>Intermediate 1A (Direct) | Intermediate Plus 2A (Direct)</x:v>
      </x:c>
      <x:c r="G7" s="20" t="str">
        <x:v>Present forms</x:v>
      </x:c>
      <x:c r="H7" s="20" t="str">
        <x:v>Yes</x:v>
      </x:c>
      <x:c r="I7" s="20" t="str">
        <x:v>src/data/hubGrammarActivities.js</x:v>
      </x:c>
    </x:row>
    <x:row r="8">
      <x:c r="A8" s="20" t="str">
        <x:v>present-perfect-simple-or-continuous</x:v>
      </x:c>
      <x:c r="B8" s="20" t="str">
        <x:v>Present Perfect Simple or Continuous</x:v>
      </x:c>
      <x:c r="C8" s="20" t="str">
        <x:v>b1, b2</x:v>
      </x:c>
      <x:c r="D8" s="21" t="n">
        <x:v>15</x:v>
      </x:c>
      <x:c r="E8" s="20" t="str">
        <x:v>Choose between present perfect simple and continuous.</x:v>
      </x:c>
      <x:c r="F8" s="20" t="str">
        <x:v>Intermediate 2B (Direct) | Intermediate Plus 2A (Direct) | Intermediate Plus 5B (Direct) | Upper-Intermediate 2A (Direct) | Advanced Plus 4B (Adjacent level)</x:v>
      </x:c>
      <x:c r="G8" s="20" t="str">
        <x:v>Present perfect</x:v>
      </x:c>
      <x:c r="H8" s="20" t="str">
        <x:v>Yes</x:v>
      </x:c>
      <x:c r="I8" s="20" t="str">
        <x:v>src/data/hubGrammarActivities.js</x:v>
      </x:c>
    </x:row>
    <x:row r="9">
      <x:c r="A9" s="20" t="str">
        <x:v>question-tags</x:v>
      </x:c>
      <x:c r="B9" s="20" t="str">
        <x:v>Question Tags Trainer</x:v>
      </x:c>
      <x:c r="C9" s="20" t="str">
        <x:v>b1, b2</x:v>
      </x:c>
      <x:c r="D9" s="21" t="n">
        <x:v>23</x:v>
      </x:c>
      <x:c r="E9" s="20" t="str">
        <x:v>Build the correct question tag for each sentence.</x:v>
      </x:c>
      <x:c r="F9" s="20" t="str">
        <x:v>Intermediate 10B (Direct)</x:v>
      </x:c>
      <x:c r="G9" s="20" t="str">
        <x:v>Questions</x:v>
      </x:c>
      <x:c r="H9" s="20" t="str">
        <x:v>Yes</x:v>
      </x:c>
      <x:c r="I9" s="20" t="str">
        <x:v>src/data/hubGrammarActivities.js</x:v>
      </x:c>
    </x:row>
    <x:row r="10">
      <x:c r="A10" s="20" t="str">
        <x:v>passive-voice-reformulation</x:v>
      </x:c>
      <x:c r="B10" s="20" t="str">
        <x:v>Passive Voice Reformulation</x:v>
      </x:c>
      <x:c r="C10" s="20" t="str">
        <x:v>b1, b2</x:v>
      </x:c>
      <x:c r="D10" s="21" t="n">
        <x:v>15</x:v>
      </x:c>
      <x:c r="E10" s="20" t="str">
        <x:v>Rewrite active sentences in the passive.</x:v>
      </x:c>
      <x:c r="F10" s="20" t="str">
        <x:v>Intermediate 6A (Direct) | Intermediate Plus 8B (Direct)</x:v>
      </x:c>
      <x:c r="G10" s="20" t="str">
        <x:v>Passive</x:v>
      </x:c>
      <x:c r="H10" s="20" t="str">
        <x:v>Yes</x:v>
      </x:c>
      <x:c r="I10" s="20" t="str">
        <x:v>src/data/hubGrammarActivities.js</x:v>
      </x:c>
    </x:row>
    <x:row r="11">
      <x:c r="A11" s="20" t="str">
        <x:v>question-word-order-a2-b1</x:v>
      </x:c>
      <x:c r="B11" s="20" t="str">
        <x:v>Question Formation Mastery</x:v>
      </x:c>
      <x:c r="C11" s="20" t="str">
        <x:v>a2, b1</x:v>
      </x:c>
      <x:c r="D11" s="21" t="n">
        <x:v>17</x:v>
      </x:c>
      <x:c r="E11" s="20" t="str">
        <x:v>Master ASI and QuASI patterns in Present and Past Simple.</x:v>
      </x:c>
      <x:c r="F11" s="20" t="str">
        <x:v>Beginner 2B (Adjacent level) | Beginner 5B (Adjacent level) | Beginner 7A (Adjacent level) | Elementary 3B (Partial) | Elementary 3C (Direct) | Elementary 12C (Direct) | Pre-Intermediate 1A (Direct)</x:v>
      </x:c>
      <x:c r="G11" s="20" t="str">
        <x:v>Questions</x:v>
      </x:c>
      <x:c r="H11" s="20" t="str">
        <x:v>Yes</x:v>
      </x:c>
      <x:c r="I11" s="20" t="str">
        <x:v>src/data/hubGrammarActivities.js</x:v>
      </x:c>
    </x:row>
    <x:row r="12">
      <x:c r="A12" s="20" t="str">
        <x:v>present-simple-frequency-a2-b1</x:v>
      </x:c>
      <x:c r="B12" s="20" t="str">
        <x:v>Present Simple &amp; Frequency</x:v>
      </x:c>
      <x:c r="C12" s="20" t="str">
        <x:v>a2, b1</x:v>
      </x:c>
      <x:c r="D12" s="21" t="n">
        <x:v>15</x:v>
      </x:c>
      <x:c r="E12" s="20" t="str">
        <x:v>Master third-person forms and the position of frequency adverbs.</x:v>
      </x:c>
      <x:c r="F12" s="20" t="str">
        <x:v>Beginner 5A (Adjacent level) | Beginner 5B (Adjacent level) | Beginner 6A (Adjacent level) | Beginner 6B (Adjacent level) | Elementary 3A (Direct) | Elementary 3B (Partial) | Elementary 4C (Direct) | Pre-Intermediate 1B (Direct)</x:v>
      </x:c>
      <x:c r="G12" s="20" t="str">
        <x:v>Present forms</x:v>
      </x:c>
      <x:c r="H12" s="20" t="str">
        <x:v>Yes</x:v>
      </x:c>
      <x:c r="I12" s="20" t="str">
        <x:v>src/data/hubGrammarActivities.js</x:v>
      </x:c>
    </x:row>
    <x:row r="13">
      <x:c r="A13" s="20" t="str">
        <x:v>simple-vs-continuous-a2-b1</x:v>
      </x:c>
      <x:c r="B13" s="20" t="str">
        <x:v>Present Simple or Continuous?</x:v>
      </x:c>
      <x:c r="C13" s="20" t="str">
        <x:v>a2, b1</x:v>
      </x:c>
      <x:c r="D13" s="21" t="n">
        <x:v>15</x:v>
      </x:c>
      <x:c r="E13" s="20" t="str">
        <x:v>Contrast habits with actions happening right now.</x:v>
      </x:c>
      <x:c r="F13" s="20" t="str">
        <x:v>Beginner 9A (Adjacent level) | Beginner 9B (Adjacent level) | Elementary 5B (Partial) | Elementary 5C (Direct) | Pre-Intermediate 1C (Direct)</x:v>
      </x:c>
      <x:c r="G13" s="20" t="str">
        <x:v>Present forms</x:v>
      </x:c>
      <x:c r="H13" s="20" t="str">
        <x:v>Yes</x:v>
      </x:c>
      <x:c r="I13" s="20" t="str">
        <x:v>src/data/hubGrammarActivities.js</x:v>
      </x:c>
    </x:row>
    <x:row r="14">
      <x:c r="A14" s="20" t="str">
        <x:v>past-simple-mastery-a2-b1</x:v>
      </x:c>
      <x:c r="B14" s="20" t="str">
        <x:v>Past Simple: Regular &amp; Irregular</x:v>
      </x:c>
      <x:c r="C14" s="20" t="str">
        <x:v>a2, b1</x:v>
      </x:c>
      <x:c r="D14" s="21" t="n">
        <x:v>18</x:v>
      </x:c>
      <x:c r="E14" s="20" t="str">
        <x:v>Master finished actions, spelling rules, and negatives.</x:v>
      </x:c>
      <x:c r="F14" s="20" t="str">
        <x:v>Beginner 10B (Adjacent level) | Beginner 11A (Adjacent level) | Beginner 11B (Adjacent level) | Beginner 12A (Adjacent level) | Beginner 12B (Adjacent level) | Elementary 7A (Partial) | Elementary 7B (Direct) | Elementary 7C (Direct) | Elementary 8A (Direct) | Pre-Intermediate 2A (Direct)</x:v>
      </x:c>
      <x:c r="G14" s="20" t="str"/>
      <x:c r="H14" s="20" t="str">
        <x:v>Yes</x:v>
      </x:c>
      <x:c r="I14" s="20" t="str">
        <x:v>src/data/hubGrammarActivities.js</x:v>
      </x:c>
    </x:row>
    <x:row r="15">
      <x:c r="A15" s="20" t="str">
        <x:v>past-simple-vs-continuous-a2-b1</x:v>
      </x:c>
      <x:c r="B15" s="20" t="str">
        <x:v>Past Continuous vs Past Simple</x:v>
      </x:c>
      <x:c r="C15" s="20" t="str">
        <x:v>a2, b1</x:v>
      </x:c>
      <x:c r="D15" s="21" t="n">
        <x:v>15</x:v>
      </x:c>
      <x:c r="E15" s="20" t="str">
        <x:v>Use the past continuous for background actions and the past simple for interruptions.</x:v>
      </x:c>
      <x:c r="F15" s="20" t="str">
        <x:v>Pre-Intermediate 2B (Direct) | Intermediate Plus 3A (Direct)</x:v>
      </x:c>
      <x:c r="G15" s="20" t="str">
        <x:v>Present forms</x:v>
      </x:c>
      <x:c r="H15" s="20" t="str">
        <x:v>Yes</x:v>
      </x:c>
      <x:c r="I15" s="20" t="str">
        <x:v>src/data/hubGrammarActivities.js</x:v>
      </x:c>
    </x:row>
    <x:row r="16">
      <x:c r="A16" s="20" t="str">
        <x:v>connector-logic-a2-b1</x:v>
      </x:c>
      <x:c r="B16" s="20" t="str">
        <x:v>Connectors: Reason, Result &amp; Contrast</x:v>
      </x:c>
      <x:c r="C16" s="20" t="str">
        <x:v>a2, b1</x:v>
      </x:c>
      <x:c r="D16" s="21" t="n">
        <x:v>15</x:v>
      </x:c>
      <x:c r="E16" s="20" t="str">
        <x:v>Link your ideas using so, because, but, and although.</x:v>
      </x:c>
      <x:c r="F16" s="20" t="str">
        <x:v>Pre-Intermediate 2C (Direct) | Advanced Plus 4A (Adjacent level)</x:v>
      </x:c>
      <x:c r="G16" s="20" t="str"/>
      <x:c r="H16" s="20" t="str">
        <x:v>Yes</x:v>
      </x:c>
      <x:c r="I16" s="20" t="str">
        <x:v>src/data/hubGrammarActivities.js</x:v>
      </x:c>
    </x:row>
    <x:row r="17">
      <x:c r="A17" s="20" t="str">
        <x:v>relative-clauses-a2-b1</x:v>
      </x:c>
      <x:c r="B17" s="20" t="str">
        <x:v>Who, Which, and Where</x:v>
      </x:c>
      <x:c r="C17" s="20" t="str">
        <x:v>a2, b1</x:v>
      </x:c>
      <x:c r="D17" s="21" t="n">
        <x:v>11</x:v>
      </x:c>
      <x:c r="E17" s="20" t="str">
        <x:v>Use relative pronouns to describe people, things, and places.</x:v>
      </x:c>
      <x:c r="F17" s="20" t="str">
        <x:v>Pre-Intermediate 3C (Direct)</x:v>
      </x:c>
      <x:c r="G17" s="20" t="str"/>
      <x:c r="H17" s="20" t="str">
        <x:v>Yes</x:v>
      </x:c>
      <x:c r="I17" s="20" t="str">
        <x:v>src/data/hubGrammarActivities.js</x:v>
      </x:c>
    </x:row>
    <x:row r="18">
      <x:c r="A18" s="20" t="str">
        <x:v>future-forms-mixed</x:v>
      </x:c>
      <x:c r="B18" s="20" t="str">
        <x:v>Future Forms</x:v>
      </x:c>
      <x:c r="C18" s="20" t="str">
        <x:v>b1</x:v>
      </x:c>
      <x:c r="D18" s="21" t="n">
        <x:v>20</x:v>
      </x:c>
      <x:c r="E18" s="20" t="str">
        <x:v>Mix predictions, plans, arrangements, and instant decisions.</x:v>
      </x:c>
      <x:c r="F18" s="20" t="str">
        <x:v>Pre-Intermediate 3B (Direct) | Intermediate 1B (Direct) | Intermediate Plus 4A (Direct) | Intermediate Plus 10B (Partial) | Advanced 8B (Adjacent level)</x:v>
      </x:c>
      <x:c r="G18" s="20" t="str">
        <x:v>Future forms</x:v>
      </x:c>
      <x:c r="H18" s="20" t="str">
        <x:v>Yes</x:v>
      </x:c>
      <x:c r="I18" s="20" t="str">
        <x:v>src/data/hubGrammarActivities.js</x:v>
      </x:c>
    </x:row>
    <x:row r="19">
      <x:c r="A19" s="20" t="str">
        <x:v>present-perfect-or-past-simple-mixed</x:v>
      </x:c>
      <x:c r="B19" s="20" t="str">
        <x:v>Present Perfect or Past Simple</x:v>
      </x:c>
      <x:c r="C19" s="20" t="str">
        <x:v>b1</x:v>
      </x:c>
      <x:c r="D19" s="21" t="n">
        <x:v>20</x:v>
      </x:c>
      <x:c r="E19" s="20" t="str">
        <x:v>Practise finished past time and present relevance.</x:v>
      </x:c>
      <x:c r="F19" s="20" t="str">
        <x:v>Intermediate 2A (Direct) | Intermediate Plus 5A (Direct)</x:v>
      </x:c>
      <x:c r="G19" s="20" t="str">
        <x:v>Present perfect</x:v>
      </x:c>
      <x:c r="H19" s="20" t="str">
        <x:v>Yes</x:v>
      </x:c>
      <x:c r="I19" s="20" t="str">
        <x:v>src/data/hubGrammarActivities.js</x:v>
      </x:c>
    </x:row>
    <x:row r="20">
      <x:c r="A20" s="20" t="str">
        <x:v>comparatives-and-superlatives-mixed</x:v>
      </x:c>
      <x:c r="B20" s="20" t="str">
        <x:v>Comparatives and Superlatives</x:v>
      </x:c>
      <x:c r="C20" s="20" t="str">
        <x:v>b1</x:v>
      </x:c>
      <x:c r="D20" s="21" t="n">
        <x:v>20</x:v>
      </x:c>
      <x:c r="E20" s="20" t="str">
        <x:v>Practise comparison structures through reformulation and error correction.</x:v>
      </x:c>
      <x:c r="F20" s="20" t="str">
        <x:v>Intermediate 3A (Direct) | Upper-Intermediate 1B (Partial) | Advanced Plus 5B (Adjacent level)</x:v>
      </x:c>
      <x:c r="G20" s="20" t="str">
        <x:v>Comparison</x:v>
      </x:c>
      <x:c r="H20" s="20" t="str">
        <x:v>Yes</x:v>
      </x:c>
      <x:c r="I20" s="20" t="str">
        <x:v>src/data/hubGrammarActivities.js</x:v>
      </x:c>
    </x:row>
    <x:row r="21">
      <x:c r="A21" s="20" t="str">
        <x:v>comparatives-logic-a2-b1</x:v>
      </x:c>
      <x:c r="B21" s="20" t="str">
        <x:v>Comparatives: Adjectives and Adverbs</x:v>
      </x:c>
      <x:c r="C21" s="20" t="str">
        <x:v>a2, b1</x:v>
      </x:c>
      <x:c r="D21" s="21" t="n">
        <x:v>18</x:v>
      </x:c>
      <x:c r="E21" s="20" t="str">
        <x:v>Master the rules for comparing people, places, and actions.</x:v>
      </x:c>
      <x:c r="F21" s="20" t="str">
        <x:v>Elementary 9C (Direct) | Pre-Intermediate 5A (Direct)</x:v>
      </x:c>
      <x:c r="G21" s="20" t="str">
        <x:v>Comparison</x:v>
      </x:c>
      <x:c r="H21" s="20" t="str">
        <x:v>Yes</x:v>
      </x:c>
      <x:c r="I21" s="20" t="str">
        <x:v>src/data/hubGrammarActivities.js</x:v>
      </x:c>
    </x:row>
    <x:row r="22">
      <x:c r="A22" s="20" t="str">
        <x:v>superlatives-logic-a2-b1</x:v>
      </x:c>
      <x:c r="B22" s="20" t="str">
        <x:v>Superlatives: The Best &amp; The Worst</x:v>
      </x:c>
      <x:c r="C22" s="20" t="str">
        <x:v>a2, b1</x:v>
      </x:c>
      <x:c r="D22" s="21" t="n">
        <x:v>18</x:v>
      </x:c>
      <x:c r="E22" s="20" t="str">
        <x:v>Master superlative adjectives and common B1 structures.</x:v>
      </x:c>
      <x:c r="F22" s="20" t="str">
        <x:v>Elementary 10A (Direct) | Pre-Intermediate 5B (Direct)</x:v>
      </x:c>
      <x:c r="G22" s="20" t="str">
        <x:v>Comparison</x:v>
      </x:c>
      <x:c r="H22" s="20" t="str">
        <x:v>Yes</x:v>
      </x:c>
      <x:c r="I22" s="20" t="str">
        <x:v>src/data/hubGrammarActivities.js</x:v>
      </x:c>
    </x:row>
    <x:row r="23">
      <x:c r="A23" s="20" t="str">
        <x:v>articles-mixed</x:v>
      </x:c>
      <x:c r="B23" s="20" t="str">
        <x:v>Articles</x:v>
      </x:c>
      <x:c r="C23" s="20" t="str">
        <x:v>b1</x:v>
      </x:c>
      <x:c r="D23" s="21" t="n">
        <x:v>32</x:v>
      </x:c>
      <x:c r="E23" s="20" t="str">
        <x:v>Practise a, an, the, and zero article in common B1 contexts.</x:v>
      </x:c>
      <x:c r="F23" s="20" t="str">
        <x:v>Elementary 11C (Adjacent level) | Intermediate 3B (Direct)</x:v>
      </x:c>
      <x:c r="G23" s="20" t="str"/>
      <x:c r="H23" s="20" t="str">
        <x:v>Yes</x:v>
      </x:c>
      <x:c r="I23" s="20" t="str">
        <x:v>src/data/hubGrammarActivities.js</x:v>
      </x:c>
    </x:row>
    <x:row r="24">
      <x:c r="A24" s="20" t="str">
        <x:v>obligation-and-prohibition-mixed</x:v>
      </x:c>
      <x:c r="B24" s="20" t="str">
        <x:v>Modals: Obligation and Prohibition</x:v>
      </x:c>
      <x:c r="C24" s="20" t="str">
        <x:v>b1</x:v>
      </x:c>
      <x:c r="D24" s="21" t="n">
        <x:v>28</x:v>
      </x:c>
      <x:c r="E24" s="20" t="str">
        <x:v>Practise must, have to, should, ought to, and mustn't at B1 level.</x:v>
      </x:c>
      <x:c r="F24" s="20" t="str">
        <x:v>Intermediate 4A (Direct) | Intermediate Plus 6A (Direct) | Advanced 7A (Adjacent level)</x:v>
      </x:c>
      <x:c r="G24" s="20" t="str"/>
      <x:c r="H24" s="20" t="str">
        <x:v>Yes</x:v>
      </x:c>
      <x:c r="I24" s="20" t="str">
        <x:v>src/data/hubGrammarActivities.js</x:v>
      </x:c>
    </x:row>
    <x:row r="25">
      <x:c r="A25" s="20" t="str">
        <x:v>ability-possibility-mixed</x:v>
      </x:c>
      <x:c r="B25" s="20" t="str">
        <x:v>Ability: Can, Could, or Be Able To?</x:v>
      </x:c>
      <x:c r="C25" s="20" t="str">
        <x:v>b1</x:v>
      </x:c>
      <x:c r="D25" s="21" t="n">
        <x:v>25</x:v>
      </x:c>
      <x:c r="E25" s="20" t="str">
        <x:v>25 items to master ability in every tense and form.</x:v>
      </x:c>
      <x:c r="F25" s="20" t="str">
        <x:v>Beginner 8A (Adjacent level) | Elementary 5A (Adjacent level) | Intermediate 4B (Direct) | Intermediate Plus 6B (Direct) | Advanced Plus 2A (Adjacent level)</x:v>
      </x:c>
      <x:c r="G25" s="20" t="str"/>
      <x:c r="H25" s="20" t="str">
        <x:v>Yes</x:v>
      </x:c>
      <x:c r="I25" s="20" t="str">
        <x:v>src/data/hubGrammarActivities.js</x:v>
      </x:c>
    </x:row>
    <x:row r="26">
      <x:c r="A26" s="20" t="str">
        <x:v>habits-and-states</x:v>
      </x:c>
      <x:c r="B26" s="20" t="str">
        <x:v>Habits and States: Used to &amp; Usually</x:v>
      </x:c>
      <x:c r="C26" s="20" t="str">
        <x:v>b1</x:v>
      </x:c>
      <x:c r="D26" s="21" t="n">
        <x:v>25</x:v>
      </x:c>
      <x:c r="E26" s="20" t="str">
        <x:v>Master 'used to', 'usually', and getting accustomed to things.</x:v>
      </x:c>
      <x:c r="F26" s="20" t="str">
        <x:v>Intermediate 5B (Direct) | Intermediate Plus 3A (Direct)</x:v>
      </x:c>
      <x:c r="G26" s="20" t="str">
        <x:v>Habits / used to</x:v>
      </x:c>
      <x:c r="H26" s="20" t="str">
        <x:v>Yes</x:v>
      </x:c>
      <x:c r="I26" s="20" t="str">
        <x:v>src/data/hubGrammarActivities.js</x:v>
      </x:c>
    </x:row>
    <x:row r="27">
      <x:c r="A27" s="20" t="str">
        <x:v>past-narrative-tenses</x:v>
      </x:c>
      <x:c r="B27" s="20" t="str">
        <x:v>Past and Narrative Tenses</x:v>
      </x:c>
      <x:c r="C27" s="20" t="str">
        <x:v>b1</x:v>
      </x:c>
      <x:c r="D27" s="21" t="n">
        <x:v>28</x:v>
      </x:c>
      <x:c r="E27" s="20" t="str">
        <x:v>Practise past simple, past continuous, and past perfect together.</x:v>
      </x:c>
      <x:c r="F27" s="20" t="str">
        <x:v>Intermediate 5A (Direct) | Intermediate Plus 10B (Partial)</x:v>
      </x:c>
      <x:c r="G27" s="20" t="str"/>
      <x:c r="H27" s="20" t="str">
        <x:v>Yes</x:v>
      </x:c>
      <x:c r="I27" s="20" t="str">
        <x:v>src/data/hubGrammarActivities.js</x:v>
      </x:c>
    </x:row>
    <x:row r="28">
      <x:c r="A28" s="20" t="str">
        <x:v>first-conditional-8b-a2b1</x:v>
      </x:c>
      <x:c r="B28" s="20" t="str">
        <x:v>First Conditional: Future Possibilities</x:v>
      </x:c>
      <x:c r="C28" s="20" t="str">
        <x:v>a2, b1</x:v>
      </x:c>
      <x:c r="D28" s="21" t="n">
        <x:v>24</x:v>
      </x:c>
      <x:c r="E28" s="20" t="str">
        <x:v>Master the structure of 'if + present' to talk about future results.</x:v>
      </x:c>
      <x:c r="F28" s="20" t="str">
        <x:v>Pre-Intermediate 8B (Direct)</x:v>
      </x:c>
      <x:c r="G28" s="20" t="str">
        <x:v>Conditionals</x:v>
      </x:c>
      <x:c r="H28" s="20" t="str">
        <x:v>Yes</x:v>
      </x:c>
      <x:c r="I28" s="20" t="str">
        <x:v>src/data/hubGrammarActivities.js</x:v>
      </x:c>
    </x:row>
    <x:row r="29">
      <x:c r="A29" s="20" t="str">
        <x:v>first-conditional-and-future-clauses</x:v>
      </x:c>
      <x:c r="B29" s="20" t="str">
        <x:v>First Conditional &amp; Future Time Clauses</x:v>
      </x:c>
      <x:c r="C29" s="20" t="str">
        <x:v>b1</x:v>
      </x:c>
      <x:c r="D29" s="21" t="n">
        <x:v>25</x:v>
      </x:c>
      <x:c r="E29" s="20" t="str">
        <x:v>Master 'if', 'unless', 'when', 'until', and 'as soon as'.</x:v>
      </x:c>
      <x:c r="F29" s="20" t="str">
        <x:v>Intermediate 7A (Direct) | Intermediate Plus 4B (Direct)</x:v>
      </x:c>
      <x:c r="G29" s="20" t="str">
        <x:v>Conditionals</x:v>
      </x:c>
      <x:c r="H29" s="20" t="str">
        <x:v>Yes</x:v>
      </x:c>
      <x:c r="I29" s="20" t="str">
        <x:v>src/data/hubGrammarActivities.js</x:v>
      </x:c>
    </x:row>
    <x:row r="30">
      <x:c r="A30" s="20" t="str">
        <x:v>modals-of-deduction</x:v>
      </x:c>
      <x:c r="B30" s="20" t="str">
        <x:v>Modals of Deduction</x:v>
      </x:c>
      <x:c r="C30" s="20" t="str">
        <x:v>b1</x:v>
      </x:c>
      <x:c r="D30" s="21" t="n">
        <x:v>28</x:v>
      </x:c>
      <x:c r="E30" s="20" t="str">
        <x:v>Practise must, might, and can't for present deduction.</x:v>
      </x:c>
      <x:c r="F30" s="20" t="str">
        <x:v>Intermediate 6B (Direct)</x:v>
      </x:c>
      <x:c r="G30" s="20" t="str"/>
      <x:c r="H30" s="20" t="str">
        <x:v>Yes</x:v>
      </x:c>
      <x:c r="I30" s="20" t="str">
        <x:v>src/data/hubGrammarActivities.js</x:v>
      </x:c>
    </x:row>
    <x:row r="31">
      <x:c r="A31" s="20" t="str">
        <x:v>gerunds-and-infinitives</x:v>
      </x:c>
      <x:c r="B31" s="20" t="str">
        <x:v>Gerunds and Infinitives</x:v>
      </x:c>
      <x:c r="C31" s="20" t="str">
        <x:v>b1</x:v>
      </x:c>
      <x:c r="D31" s="21" t="n">
        <x:v>24</x:v>
      </x:c>
      <x:c r="E31" s="20" t="str">
        <x:v>Practise gerunds, to-infinitives, and bare infinitives.</x:v>
      </x:c>
      <x:c r="F31" s="20" t="str">
        <x:v>Intermediate 8A (Direct) | Intermediate Plus 7B (Direct)</x:v>
      </x:c>
      <x:c r="G31" s="20" t="str">
        <x:v>Gerunds and infinitives</x:v>
      </x:c>
      <x:c r="H31" s="20" t="str">
        <x:v>Yes</x:v>
      </x:c>
      <x:c r="I31" s="20" t="str">
        <x:v>src/data/hubGrammarActivities.js</x:v>
      </x:c>
    </x:row>
    <x:row r="32">
      <x:c r="A32" s="20" t="str">
        <x:v>gerund-infinitive-review-a2b1</x:v>
      </x:c>
      <x:c r="B32" s="20" t="str">
        <x:v>Gerunds and Infinitives Review</x:v>
      </x:c>
      <x:c r="C32" s="20" t="str">
        <x:v>a2, b1</x:v>
      </x:c>
      <x:c r="D32" s="21" t="n">
        <x:v>18</x:v>
      </x:c>
      <x:c r="E32" s="20" t="str">
        <x:v>Master the patterns of 'to + verb' and 'verb + -ing' in context.</x:v>
      </x:c>
      <x:c r="F32" s="20" t="str">
        <x:v>Beginner 8B (Adjacent level) | Elementary 6B (Partial) | Elementary 11B (Direct) | Pre-Intermediate 7A (Direct) | Pre-Intermediate 7B (Direct)</x:v>
      </x:c>
      <x:c r="G32" s="20" t="str">
        <x:v>Gerunds and infinitives</x:v>
      </x:c>
      <x:c r="H32" s="20" t="str">
        <x:v>Yes</x:v>
      </x:c>
      <x:c r="I32" s="20" t="str">
        <x:v>src/data/hubGrammarActivities.js</x:v>
      </x:c>
    </x:row>
    <x:row r="33">
      <x:c r="A33" s="20" t="str">
        <x:v>third-conditional-regrets</x:v>
      </x:c>
      <x:c r="B33" s="20" t="str">
        <x:v>Third Conditional: Past Regrets</x:v>
      </x:c>
      <x:c r="C33" s="20" t="str">
        <x:v>b1</x:v>
      </x:c>
      <x:c r="D33" s="21" t="n">
        <x:v>25</x:v>
      </x:c>
      <x:c r="E33" s="20" t="str">
        <x:v>Master 'if + past perfect' and 'would have' for hypothetical pasts.</x:v>
      </x:c>
      <x:c r="F33" s="20" t="str">
        <x:v>Intermediate 9A (Direct) | Intermediate Plus 9B (Direct)</x:v>
      </x:c>
      <x:c r="G33" s="20" t="str">
        <x:v>Conditionals</x:v>
      </x:c>
      <x:c r="H33" s="20" t="str">
        <x:v>Yes</x:v>
      </x:c>
      <x:c r="I33" s="20" t="str">
        <x:v>src/data/hubGrammarActivities.js</x:v>
      </x:c>
    </x:row>
    <x:row r="34">
      <x:c r="A34" s="20" t="str">
        <x:v>reported-speech</x:v>
      </x:c>
      <x:c r="B34" s="20" t="str">
        <x:v>Reported Speech</x:v>
      </x:c>
      <x:c r="C34" s="20" t="str">
        <x:v>b1</x:v>
      </x:c>
      <x:c r="D34" s="21" t="n">
        <x:v>26</x:v>
      </x:c>
      <x:c r="E34" s="20" t="str">
        <x:v>Practise backshift, pronoun changes, and reported questions.</x:v>
      </x:c>
      <x:c r="F34" s="20" t="str">
        <x:v>Intermediate 8B (Direct) | Intermediate Plus 9A (Direct)</x:v>
      </x:c>
      <x:c r="G34" s="20" t="str">
        <x:v>Reported speech</x:v>
      </x:c>
      <x:c r="H34" s="20" t="str">
        <x:v>Yes</x:v>
      </x:c>
      <x:c r="I34" s="20" t="str">
        <x:v>src/data/hubGrammarActivities.js</x:v>
      </x:c>
    </x:row>
    <x:row r="35">
      <x:c r="A35" s="20" t="str">
        <x:v>quantifiers</x:v>
      </x:c>
      <x:c r="B35" s="20" t="str">
        <x:v>Quantifiers</x:v>
      </x:c>
      <x:c r="C35" s="20" t="str">
        <x:v>b1</x:v>
      </x:c>
      <x:c r="D35" s="21" t="n">
        <x:v>26</x:v>
      </x:c>
      <x:c r="E35" s="20" t="str">
        <x:v>Practise much, many, few, little, enough, too, and plenty.</x:v>
      </x:c>
      <x:c r="F35" s="20" t="str">
        <x:v>Elementary 9B (Partial) | Intermediate 9B (Direct)</x:v>
      </x:c>
      <x:c r="G35" s="20" t="str">
        <x:v>Quantifiers</x:v>
      </x:c>
      <x:c r="H35" s="20" t="str">
        <x:v>Yes</x:v>
      </x:c>
      <x:c r="I35" s="20" t="str">
        <x:v>src/data/hubGrammarActivities.js</x:v>
      </x:c>
    </x:row>
    <x:row r="36">
      <x:c r="A36" s="20" t="str">
        <x:v>quantifiers-full-b1-test</x:v>
      </x:c>
      <x:c r="B36" s="20" t="str">
        <x:v>Quantifiers: Too and Enough Mastery</x:v>
      </x:c>
      <x:c r="C36" s="20" t="str">
        <x:v>a2, b1</x:v>
      </x:c>
      <x:c r="D36" s="21" t="n">
        <x:v>24</x:v>
      </x:c>
      <x:c r="E36" s="20" t="str">
        <x:v>A four-phase test covering conceptual logic, common errors, visual construction, and word order.</x:v>
      </x:c>
      <x:c r="F36" s="20" t="str">
        <x:v>Pre-Intermediate 5C (Direct)</x:v>
      </x:c>
      <x:c r="G36" s="20" t="str">
        <x:v>Quantifiers</x:v>
      </x:c>
      <x:c r="H36" s="20" t="str">
        <x:v>Yes</x:v>
      </x:c>
      <x:c r="I36" s="20" t="str">
        <x:v>src/data/hubGrammarActivities.js</x:v>
      </x:c>
    </x:row>
    <x:row r="37">
      <x:c r="A37" s="20" t="str">
        <x:v>question-formation-mastery</x:v>
      </x:c>
      <x:c r="B37" s="20" t="str">
        <x:v>Question Formation: Direct &amp; Indirect</x:v>
      </x:c>
      <x:c r="C37" s="20" t="str">
        <x:v>b2</x:v>
      </x:c>
      <x:c r="D37" s="21" t="n">
        <x:v>25</x:v>
      </x:c>
      <x:c r="E37" s="20" t="str">
        <x:v>Master indirect questions, negative questions, and prepositions.</x:v>
      </x:c>
      <x:c r="F37" s="20" t="str">
        <x:v>Upper-Intermediate 1A (Direct) | Advanced Plus 3B (Missing)</x:v>
      </x:c>
      <x:c r="G37" s="20" t="str">
        <x:v>Questions</x:v>
      </x:c>
      <x:c r="H37" s="20" t="str">
        <x:v>Yes</x:v>
      </x:c>
      <x:c r="I37" s="20" t="str">
        <x:v>src/data/hubGrammarActivities.js</x:v>
      </x:c>
    </x:row>
    <x:row r="38">
      <x:c r="A38" s="20" t="str">
        <x:v>auxiliary-verb-mastery</x:v>
      </x:c>
      <x:c r="B38" s="20" t="str">
        <x:v>Auxiliary Verbs: Echoes and Emphasis</x:v>
      </x:c>
      <x:c r="C38" s="20" t="str">
        <x:v>b2</x:v>
      </x:c>
      <x:c r="D38" s="21" t="n">
        <x:v>25</x:v>
      </x:c>
      <x:c r="E38" s="20" t="str">
        <x:v>Master 'so/neither', question tags, and using 'do' for emphasis.</x:v>
      </x:c>
      <x:c r="F38" s="20" t="str">
        <x:v>Intermediate Plus 10A (Partial) | Upper-Intermediate 1B (Partial)</x:v>
      </x:c>
      <x:c r="G38" s="20" t="str"/>
      <x:c r="H38" s="20" t="str">
        <x:v>Yes</x:v>
      </x:c>
      <x:c r="I38" s="20" t="str">
        <x:v>src/data/hubGrammarActivities.js</x:v>
      </x:c>
    </x:row>
    <x:row r="39">
      <x:c r="A39" s="20" t="str">
        <x:v>adjectives-order-and-groups</x:v>
      </x:c>
      <x:c r="B39" s="20" t="str">
        <x:v>Adjectives: Order, Groups, and -ed/-ing</x:v>
      </x:c>
      <x:c r="C39" s="20" t="str">
        <x:v>b2</x:v>
      </x:c>
      <x:c r="D39" s="21" t="n">
        <x:v>25</x:v>
      </x:c>
      <x:c r="E39" s="20" t="str">
        <x:v>Master adjective order, collective nouns, and participle adjectives.</x:v>
      </x:c>
      <x:c r="F39" s="20" t="str">
        <x:v>Intermediate Plus 1B (Partial) | Upper-Intermediate 2B (Direct) | Advanced Plus 8B (Adjacent level)</x:v>
      </x:c>
      <x:c r="G39" s="20" t="str"/>
      <x:c r="H39" s="20" t="str">
        <x:v>Yes</x:v>
      </x:c>
      <x:c r="I39" s="20" t="str">
        <x:v>src/data/hubGrammarActivities.js</x:v>
      </x:c>
    </x:row>
    <x:row r="40">
      <x:c r="A40" s="20" t="str">
        <x:v>narrative-tenses-storytelling</x:v>
      </x:c>
      <x:c r="B40" s="20" t="str">
        <x:v>Narrative Tenses: Storytelling</x:v>
      </x:c>
      <x:c r="C40" s="20" t="str">
        <x:v>b2</x:v>
      </x:c>
      <x:c r="D40" s="21" t="n">
        <x:v>25</x:v>
      </x:c>
      <x:c r="E40" s="20" t="str">
        <x:v>Master Past Simple, Continuous, and Perfect (Simple &amp; Continuous).</x:v>
      </x:c>
      <x:c r="F40" s="20" t="str">
        <x:v>Upper-Intermediate 3A (Partial)</x:v>
      </x:c>
      <x:c r="G40" s="20" t="str"/>
      <x:c r="H40" s="20" t="str">
        <x:v>Yes</x:v>
      </x:c>
      <x:c r="I40" s="20" t="str">
        <x:v>src/data/hubGrammarActivities.js</x:v>
      </x:c>
    </x:row>
    <x:row r="41">
      <x:c r="A41" s="20" t="str">
        <x:v>b2-adverb-position-expanded</x:v>
      </x:c>
      <x:c r="B41" s="20" t="str">
        <x:v>Adverb Position: B2 Practice</x:v>
      </x:c>
      <x:c r="C41" s="20" t="str">
        <x:v>b2</x:v>
      </x:c>
      <x:c r="D41" s="21" t="n">
        <x:v>20</x:v>
      </x:c>
      <x:c r="E41" s="20" t="str">
        <x:v>Original exercises for Manner, Place, Time, and Degree adverbs.</x:v>
      </x:c>
      <x:c r="F41" s="20" t="str">
        <x:v>Elementary 11A (Missing) | Intermediate Plus 9B (Direct) | Upper-Intermediate 3B (Direct) | Advanced Plus 6A (Adjacent level)</x:v>
      </x:c>
      <x:c r="G41" s="20" t="str"/>
      <x:c r="H41" s="20" t="str">
        <x:v>Yes</x:v>
      </x:c>
      <x:c r="I41" s="20" t="str">
        <x:v>src/data/hubGrammarActivities.js</x:v>
      </x:c>
    </x:row>
    <x:row r="42">
      <x:c r="A42" s="20" t="str">
        <x:v>advanced-future-mechanics</x:v>
      </x:c>
      <x:c r="B42" s="20" t="str">
        <x:v>Future Continuous vs. Future Perfect</x:v>
      </x:c>
      <x:c r="C42" s="20" t="str">
        <x:v>b2</x:v>
      </x:c>
      <x:c r="D42" s="21" t="n">
        <x:v>24</x:v>
      </x:c>
      <x:c r="E42" s="20" t="str">
        <x:v>Original scenarios focusing on deadlines, ongoing actions, and planned events.</x:v>
      </x:c>
      <x:c r="F42" s="20" t="str">
        <x:v>Upper-Intermediate 4A (Direct) | Advanced 8B (Adjacent level)</x:v>
      </x:c>
      <x:c r="G42" s="20" t="str">
        <x:v>Future forms</x:v>
      </x:c>
      <x:c r="H42" s="20" t="str">
        <x:v>Yes</x:v>
      </x:c>
      <x:c r="I42" s="20" t="str">
        <x:v>src/data/hubGrammarActivities.js</x:v>
      </x:c>
    </x:row>
    <x:row r="43">
      <x:c r="A43" s="20" t="str">
        <x:v>unreal-conditionals-mastery</x:v>
      </x:c>
      <x:c r="B43" s="20" t="str">
        <x:v>Unreal Conditionals: 2nd, 3rd &amp; Mixed</x:v>
      </x:c>
      <x:c r="C43" s="20" t="str">
        <x:v>b2</x:v>
      </x:c>
      <x:c r="D43" s="21" t="n">
        <x:v>19</x:v>
      </x:c>
      <x:c r="E43" s="20" t="str">
        <x:v>Master hypothetical situations in the past, present, and mixed timelines.</x:v>
      </x:c>
      <x:c r="F43" s="20" t="str">
        <x:v>Upper-Intermediate 5A (Direct) | Advanced 6B (Adjacent level) | Advanced Plus 8A (Adjacent level)</x:v>
      </x:c>
      <x:c r="G43" s="20" t="str">
        <x:v>Conditionals</x:v>
      </x:c>
      <x:c r="H43" s="20" t="str">
        <x:v>Yes</x:v>
      </x:c>
      <x:c r="I43" s="20" t="str">
        <x:v>src/data/hubGrammarActivities.js</x:v>
      </x:c>
    </x:row>
    <x:row r="44">
      <x:c r="A44" s="20" t="str">
        <x:v>uses-of-wish-mastery</x:v>
      </x:c>
      <x:c r="B44" s="20" t="str">
        <x:v>Wishes and Regrets</x:v>
      </x:c>
      <x:c r="C44" s="20" t="str">
        <x:v>b2</x:v>
      </x:c>
      <x:c r="D44" s="21" t="n">
        <x:v>20</x:v>
      </x:c>
      <x:c r="E44" s="20" t="str">
        <x:v>Master 'wish' for present desires, past regrets, and annoying behaviors.</x:v>
      </x:c>
      <x:c r="F44" s="20" t="str">
        <x:v>Upper-Intermediate 5B (Direct)</x:v>
      </x:c>
      <x:c r="G44" s="20" t="str"/>
      <x:c r="H44" s="20" t="str">
        <x:v>Yes</x:v>
      </x:c>
      <x:c r="I44" s="20" t="str">
        <x:v>src/data/hubGrammarActivities.js</x:v>
      </x:c>
    </x:row>
    <x:row r="45">
      <x:c r="A45" s="20" t="str">
        <x:v>gerunds-and-infinitives-mastery</x:v>
      </x:c>
      <x:c r="B45" s="20" t="str">
        <x:v>Gerunds and Infinitives: B2 Level</x:v>
      </x:c>
      <x:c r="C45" s="20" t="str">
        <x:v>b2</x:v>
      </x:c>
      <x:c r="D45" s="21" t="n">
        <x:v>24</x:v>
      </x:c>
      <x:c r="E45" s="20" t="str">
        <x:v>Master the patterns of -ing, to-infinitive, and the bare infinitive.</x:v>
      </x:c>
      <x:c r="F45" s="20" t="str">
        <x:v>Intermediate Plus 7B (Direct) | Upper-Intermediate 6B (Direct) | Advanced 6A (Partial) | Advanced 8A (Adjacent level)</x:v>
      </x:c>
      <x:c r="G45" s="20" t="str">
        <x:v>Gerunds and infinitives</x:v>
      </x:c>
      <x:c r="H45" s="20" t="str">
        <x:v>Yes</x:v>
      </x:c>
      <x:c r="I45" s="20" t="str">
        <x:v>src/data/hubGrammarActivities.js</x:v>
      </x:c>
    </x:row>
    <x:row r="46">
      <x:c r="A46" s="20" t="str">
        <x:v>past-modals-mastery</x:v>
      </x:c>
      <x:c r="B46" s="20" t="str">
        <x:v>Past Modals: Deduction &amp; Regret</x:v>
      </x:c>
      <x:c r="C46" s="20" t="str">
        <x:v>b2</x:v>
      </x:c>
      <x:c r="D46" s="21" t="n">
        <x:v>20</x:v>
      </x:c>
      <x:c r="E46" s="20" t="str">
        <x:v>Master 'must have', 'can't have', and 'should have' for past situations.</x:v>
      </x:c>
      <x:c r="F46" s="20" t="str">
        <x:v>Upper-Intermediate 7A (Partial) | Advanced 7A (Adjacent level) | Advanced Plus 1A (Adjacent level)</x:v>
      </x:c>
      <x:c r="G46" s="20" t="str"/>
      <x:c r="H46" s="20" t="str">
        <x:v>Yes</x:v>
      </x:c>
      <x:c r="I46" s="20" t="str">
        <x:v>src/data/hubGrammarActivities.js</x:v>
      </x:c>
    </x:row>
    <x:row r="47">
      <x:c r="A47" s="20" t="str">
        <x:v>verbs-of-the-senses-mastery</x:v>
      </x:c>
      <x:c r="B47" s="20" t="str">
        <x:v>Verbs of the Senses</x:v>
      </x:c>
      <x:c r="C47" s="20" t="str">
        <x:v>b2</x:v>
      </x:c>
      <x:c r="D47" s="21" t="n">
        <x:v>24</x:v>
      </x:c>
      <x:c r="E47" s="20" t="str">
        <x:v>Master 'look', 'feel', 'smell', 'sound', and 'taste' plus the many uses of 'as'.</x:v>
      </x:c>
      <x:c r="F47" s="20" t="str">
        <x:v>Upper-Intermediate 7B (Direct) | Advanced 7B (Adjacent level)</x:v>
      </x:c>
      <x:c r="G47" s="20" t="str"/>
      <x:c r="H47" s="20" t="str">
        <x:v>Yes</x:v>
      </x:c>
      <x:c r="I47" s="20" t="str">
        <x:v>src/data/hubGrammarActivities.js</x:v>
      </x:c>
    </x:row>
    <x:row r="48">
      <x:c r="A48" s="20" t="str">
        <x:v>passive-voice-advanced</x:v>
      </x:c>
      <x:c r="B48" s="20" t="str">
        <x:v>The Passive: Advanced Forms</x:v>
      </x:c>
      <x:c r="C48" s="20" t="str">
        <x:v>b2</x:v>
      </x:c>
      <x:c r="D48" s="21" t="n">
        <x:v>24</x:v>
      </x:c>
      <x:c r="E48" s="20" t="str">
        <x:v>Master all tenses, causative 'have', and formal reported passives.</x:v>
      </x:c>
      <x:c r="F48" s="20" t="str">
        <x:v>Intermediate Plus 8A (Direct) | Upper-Intermediate 8A (Direct) | Advanced Plus 7A (Adjacent level)</x:v>
      </x:c>
      <x:c r="G48" s="20" t="str">
        <x:v>Passive</x:v>
      </x:c>
      <x:c r="H48" s="20" t="str">
        <x:v>Yes</x:v>
      </x:c>
      <x:c r="I48" s="20" t="str">
        <x:v>src/data/hubGrammarActivities.js</x:v>
      </x:c>
    </x:row>
    <x:row r="49">
      <x:c r="A49" s="20" t="str">
        <x:v>reporting-verbs-mastery</x:v>
      </x:c>
      <x:c r="B49" s="20" t="str">
        <x:v>Reporting Verbs: B2 Level</x:v>
      </x:c>
      <x:c r="C49" s="20" t="str">
        <x:v>b2</x:v>
      </x:c>
      <x:c r="D49" s="21" t="n">
        <x:v>24</x:v>
      </x:c>
      <x:c r="E49" s="20" t="str">
        <x:v>Master the patterns of infinitives and gerunds after reporting verbs.</x:v>
      </x:c>
      <x:c r="F49" s="20" t="str">
        <x:v>Upper-Intermediate 8B (Direct)</x:v>
      </x:c>
      <x:c r="G49" s="20" t="str"/>
      <x:c r="H49" s="20" t="str">
        <x:v>Yes</x:v>
      </x:c>
      <x:c r="I49" s="20" t="str">
        <x:v>src/data/hubGrammarActivities.js</x:v>
      </x:c>
    </x:row>
    <x:row r="50">
      <x:c r="A50" s="20" t="str">
        <x:v>countable-uncountable-mastery</x:v>
      </x:c>
      <x:c r="B50" s="20" t="str">
        <x:v>Countable and Uncountable Nouns</x:v>
      </x:c>
      <x:c r="C50" s="20" t="str">
        <x:v>b2</x:v>
      </x:c>
      <x:c r="D50" s="21" t="n">
        <x:v>20</x:v>
      </x:c>
      <x:c r="E50" s="20" t="str">
        <x:v>Master the tricky grammar of advice, furniture, news, and plural nouns.</x:v>
      </x:c>
      <x:c r="F50" s="20" t="str">
        <x:v>Elementary 9A (Adjacent level) | Upper-Intermediate 9B (Direct)</x:v>
      </x:c>
      <x:c r="G50" s="20" t="str"/>
      <x:c r="H50" s="20" t="str">
        <x:v>Yes</x:v>
      </x:c>
      <x:c r="I50" s="20" t="str">
        <x:v>src/data/hubGrammarActivities.js</x:v>
      </x:c>
    </x:row>
    <x:row r="51">
      <x:c r="A51" s="20" t="str">
        <x:v>quantifiers-mastery-all-both-neither</x:v>
      </x:c>
      <x:c r="B51" s="20" t="str">
        <x:v>Quantifiers: All, Every, Both &amp; Neither</x:v>
      </x:c>
      <x:c r="C51" s="20" t="str">
        <x:v>b2</x:v>
      </x:c>
      <x:c r="D51" s="21" t="n">
        <x:v>27</x:v>
      </x:c>
      <x:c r="E51" s="20" t="str">
        <x:v>Master the tricky grammar of totalities, zero quantity, and choices.</x:v>
      </x:c>
      <x:c r="F51" s="20" t="str">
        <x:v>Upper-Intermediate 10A (Direct) | Advanced Plus 3A (Adjacent level)</x:v>
      </x:c>
      <x:c r="G51" s="20" t="str">
        <x:v>Quantifiers</x:v>
      </x:c>
      <x:c r="H51" s="20" t="str">
        <x:v>Yes</x:v>
      </x:c>
      <x:c r="I51" s="20" t="str">
        <x:v>src/data/hubGrammarActivities.js</x:v>
      </x:c>
    </x:row>
    <x:row r="52">
      <x:c r="A52" s="20" t="str">
        <x:v>ed-ing-adjectives-mastery</x:v>
      </x:c>
      <x:c r="B52" s="20" t="str">
        <x:v>-ed and -ing Adjectives</x:v>
      </x:c>
      <x:c r="C52" s="20" t="str">
        <x:v>b1, b2</x:v>
      </x:c>
      <x:c r="D52" s="21" t="n">
        <x:v>19</x:v>
      </x:c>
      <x:c r="E52" s="20" t="str">
        <x:v>Master the difference between describing feelings and describing situations.</x:v>
      </x:c>
      <x:c r="F52" s="20" t="str">
        <x:v>Intermediate Plus 1B (Partial)</x:v>
      </x:c>
      <x:c r="G52" s="20" t="str"/>
      <x:c r="H52" s="20" t="str">
        <x:v>Yes</x:v>
      </x:c>
      <x:c r="I52" s="20" t="str">
        <x:v>src/data/hubGrammarActivities.js</x:v>
      </x:c>
    </x:row>
    <x:row r="53">
      <x:c r="A53" s="20" t="str">
        <x:v>be-going-to-mastery</x:v>
      </x:c>
      <x:c r="B53" s="20" t="str">
        <x:v>Be Going To: Plans vs. Predictions</x:v>
      </x:c>
      <x:c r="C53" s="20" t="str">
        <x:v>a2, b1</x:v>
      </x:c>
      <x:c r="D53" s="21" t="n">
        <x:v>12</x:v>
      </x:c>
      <x:c r="E53" s="20" t="str">
        <x:v>Practice intentions and predictions based on present evidence.</x:v>
      </x:c>
      <x:c r="F53" s="20" t="str">
        <x:v>Elementary 10B (Direct) | Elementary 10C (Direct) | Pre-Intermediate 3A (Direct) | Intermediate Plus 4A (Direct)</x:v>
      </x:c>
      <x:c r="G53" s="20" t="str">
        <x:v>Future forms</x:v>
      </x:c>
      <x:c r="H53" s="20" t="str">
        <x:v>Yes</x:v>
      </x:c>
      <x:c r="I53" s="20" t="str">
        <x:v>src/data/hubGrammarActivities.js</x:v>
      </x:c>
    </x:row>
    <x:row r="54">
      <x:c r="A54" s="20" t="str">
        <x:v>predictions-will-wont-a2b1</x:v>
      </x:c>
      <x:c r="B54" s="20" t="str">
        <x:v>Future Predictions: Will and Won't</x:v>
      </x:c>
      <x:c r="C54" s="20" t="str">
        <x:v>a2, b1</x:v>
      </x:c>
      <x:c r="D54" s="21" t="n">
        <x:v>16</x:v>
      </x:c>
      <x:c r="E54" s="20" t="str">
        <x:v>Practice making guesses and sharing opinions about the future.</x:v>
      </x:c>
      <x:c r="F54" s="20" t="str">
        <x:v>Pre-Intermediate 6A (Direct)</x:v>
      </x:c>
      <x:c r="G54" s="20" t="str"/>
      <x:c r="H54" s="20" t="str">
        <x:v>Yes</x:v>
      </x:c>
      <x:c r="I54" s="20" t="str">
        <x:v>src/data/hubGrammarActivities.js</x:v>
      </x:c>
    </x:row>
    <x:row r="55">
      <x:c r="A55" s="20" t="str">
        <x:v>will-shall-functions-a2b1</x:v>
      </x:c>
      <x:c r="B55" s="20" t="str">
        <x:v>Will and Shall: Decisions and Offers</x:v>
      </x:c>
      <x:c r="C55" s="20" t="str">
        <x:v>a2, b1</x:v>
      </x:c>
      <x:c r="D55" s="21" t="n">
        <x:v>16</x:v>
      </x:c>
      <x:c r="E55" s="20" t="str">
        <x:v>Master the use of will and shall for instant decisions, promises, and offers.</x:v>
      </x:c>
      <x:c r="F55" s="20" t="str">
        <x:v>Pre-Intermediate 6B (Direct) | Intermediate Plus 4A (Direct) | Advanced Plus 1A (Adjacent level)</x:v>
      </x:c>
      <x:c r="G55" s="20" t="str">
        <x:v>Future forms</x:v>
      </x:c>
      <x:c r="H55" s="20" t="str">
        <x:v>Yes</x:v>
      </x:c>
      <x:c r="I55" s="20" t="str">
        <x:v>src/data/hubGrammarActivities.js</x:v>
      </x:c>
    </x:row>
    <x:row r="56">
      <x:c r="A56" s="20" t="str">
        <x:v>conditional-choice-7b</x:v>
      </x:c>
      <x:c r="B56" s="20" t="str">
        <x:v>Second Conditional: Choosing Between Conditionals</x:v>
      </x:c>
      <x:c r="C56" s="20" t="str">
        <x:v>b1</x:v>
      </x:c>
      <x:c r="D56" s="21" t="n">
        <x:v>28</x:v>
      </x:c>
      <x:c r="E56" s="20" t="str">
        <x:v>Choose between first and second conditional by deciding if the situation is real or unreal.</x:v>
      </x:c>
      <x:c r="F56" s="20" t="str">
        <x:v>Intermediate 7B (Direct) | Intermediate Plus 4B (Direct)</x:v>
      </x:c>
      <x:c r="G56" s="20" t="str">
        <x:v>Conditionals</x:v>
      </x:c>
      <x:c r="H56" s="20" t="str">
        <x:v>Yes</x:v>
      </x:c>
      <x:c r="I56" s="20" t="str">
        <x:v>src/data/hubGrammarActivities.js</x:v>
      </x:c>
    </x:row>
    <x:row r="57">
      <x:c r="A57" s="20" t="str">
        <x:v>second-conditional-intro-a2b1</x:v>
      </x:c>
      <x:c r="B57" s="20" t="str">
        <x:v>Second Conditional: Dreams and Hypotheses</x:v>
      </x:c>
      <x:c r="C57" s="20" t="str">
        <x:v>a2, b1</x:v>
      </x:c>
      <x:c r="D57" s="21" t="n">
        <x:v>12</x:v>
      </x:c>
      <x:c r="E57" s="20" t="str">
        <x:v>A first look at using 'if + past' to talk about imaginary situations.</x:v>
      </x:c>
      <x:c r="F57" s="20" t="str">
        <x:v>Pre-Intermediate 9A (Direct)</x:v>
      </x:c>
      <x:c r="G57" s="20" t="str">
        <x:v>Conditionals</x:v>
      </x:c>
      <x:c r="H57" s="20" t="str">
        <x:v>Yes</x:v>
      </x:c>
      <x:c r="I57" s="20" t="str">
        <x:v>src/data/hubGrammarActivities.js</x:v>
      </x:c>
    </x:row>
    <x:row r="58">
      <x:c r="A58" s="20" t="str">
        <x:v>possessive-pronouns-8c-a2b1</x:v>
      </x:c>
      <x:c r="B58" s="20" t="str">
        <x:v>Possessive Pronouns and Adjectives</x:v>
      </x:c>
      <x:c r="C58" s="20" t="str">
        <x:v>a2, b1</x:v>
      </x:c>
      <x:c r="D58" s="21" t="n">
        <x:v>14</x:v>
      </x:c>
      <x:c r="E58" s="20" t="str">
        <x:v>Master the difference between possessive adjectives (my, your) and pronouns (mine, yours).</x:v>
      </x:c>
      <x:c r="F58" s="20" t="str">
        <x:v>Beginner 4A (Adjacent level) | Elementary 1C (Direct) | Elementary 4A (Missing) | Pre-Intermediate 8C (Direct) | Intermediate Plus 1A (Adjacent level) | Intermediate Plus 2B (Partial)</x:v>
      </x:c>
      <x:c r="G58" s="20" t="str"/>
      <x:c r="H58" s="20" t="str">
        <x:v>Yes</x:v>
      </x:c>
      <x:c r="I58" s="20" t="str">
        <x:v>src/data/hubGrammarActivities.js</x:v>
      </x:c>
    </x:row>
    <x:row r="59">
      <x:c r="A59" s="20" t="str">
        <x:v>advice-should-ought-a2b1</x:v>
      </x:c>
      <x:c r="B59" s="20" t="str">
        <x:v>Giving Advice: Should and Shouldn't</x:v>
      </x:c>
      <x:c r="C59" s="20" t="str">
        <x:v>a2, b1</x:v>
      </x:c>
      <x:c r="D59" s="21" t="n">
        <x:v>13</x:v>
      </x:c>
      <x:c r="E59" s="20" t="str">
        <x:v>Master giving advice and sharing opinions using should, shouldn't, and ought to.</x:v>
      </x:c>
      <x:c r="F59" s="20" t="str">
        <x:v>Pre-Intermediate 8A (Direct) | Intermediate Plus 6A (Direct) | Advanced Plus 1A (Adjacent level)</x:v>
      </x:c>
      <x:c r="G59" s="20" t="str"/>
      <x:c r="H59" s="20" t="str">
        <x:v>Yes</x:v>
      </x:c>
      <x:c r="I59" s="20" t="str">
        <x:v>src/data/hubGrammarActivities.js</x:v>
      </x:c>
    </x:row>
    <x:row r="60">
      <x:c r="A60" s="20" t="str">
        <x:v>obligation-prohibition-7c-a2b1</x:v>
      </x:c>
      <x:c r="B60" s="20" t="str">
        <x:v>Obligation and Prohibition: Must and Have to</x:v>
      </x:c>
      <x:c r="C60" s="20" t="str">
        <x:v>a2, b1</x:v>
      </x:c>
      <x:c r="D60" s="21" t="n">
        <x:v>20</x:v>
      </x:c>
      <x:c r="E60" s="20" t="str">
        <x:v>Master rules, recommendations, and prohibitions using modal verbs.</x:v>
      </x:c>
      <x:c r="F60" s="20" t="str">
        <x:v>Pre-Intermediate 7C (Direct)</x:v>
      </x:c>
      <x:c r="G60" s="20" t="str"/>
      <x:c r="H60" s="20" t="str">
        <x:v>Yes</x:v>
      </x:c>
      <x:c r="I60" s="20" t="str">
        <x:v>src/data/hubGrammarActivities.js</x:v>
      </x:c>
    </x:row>
    <x:row r="61">
      <x:c r="A61" s="20" t="str">
        <x:v>verb-form-review-6c</x:v>
      </x:c>
      <x:c r="B61" s="20" t="str">
        <x:v>The Big Verb Review</x:v>
      </x:c>
      <x:c r="C61" s="20" t="str">
        <x:v>a2, b1</x:v>
      </x:c>
      <x:c r="D61" s="21" t="n">
        <x:v>19</x:v>
      </x:c>
      <x:c r="E61" s="20" t="str">
        <x:v>A comprehensive test of present, past, and future forms.</x:v>
      </x:c>
      <x:c r="F61" s="20" t="str">
        <x:v>Elementary 6C (Missing) | Pre-Intermediate 6C (Direct) | Intermediate Plus 10A (Partial) | Intermediate Plus 10B (Partial)</x:v>
      </x:c>
      <x:c r="G61" s="20" t="str"/>
      <x:c r="H61" s="20" t="str">
        <x:v>Yes</x:v>
      </x:c>
      <x:c r="I61" s="20" t="str">
        <x:v>src/data/hubGrammarActivities.js</x:v>
      </x:c>
    </x:row>
    <x:row r="62">
      <x:c r="A62" s="20" t="str">
        <x:v>arrangements-vs-plans-a2-b1</x:v>
      </x:c>
      <x:c r="B62" s="20" t="str">
        <x:v>Arrangements or Intentions?</x:v>
      </x:c>
      <x:c r="C62" s="20" t="str">
        <x:v>a2, b1</x:v>
      </x:c>
      <x:c r="D62" s="21" t="n">
        <x:v>12</x:v>
      </x:c>
      <x:c r="E62" s="20" t="str">
        <x:v>Decide between the Present Continuous and 'be going to'.</x:v>
      </x:c>
      <x:c r="F62" s="20" t="str">
        <x:v>Elementary 10B (Direct) | Pre-Intermediate 3B (Direct)</x:v>
      </x:c>
      <x:c r="G62" s="20" t="str">
        <x:v>Future forms</x:v>
      </x:c>
      <x:c r="H62" s="20" t="str">
        <x:v>Yes</x:v>
      </x:c>
      <x:c r="I62" s="20" t="str">
        <x:v>src/data/hubGrammarActivities.js</x:v>
      </x:c>
    </x:row>
    <x:row r="63">
      <x:c r="A63" s="20" t="str">
        <x:v>pp-duration-9b-a2b1</x:v>
      </x:c>
      <x:c r="B63" s="20" t="str">
        <x:v>Present Perfect: For and Since</x:v>
      </x:c>
      <x:c r="C63" s="20" t="str">
        <x:v>a2, b1</x:v>
      </x:c>
      <x:c r="D63" s="21" t="n">
        <x:v>16</x:v>
      </x:c>
      <x:c r="E63" s="20" t="str">
        <x:v>Practice talking about how long you have done something.</x:v>
      </x:c>
      <x:c r="F63" s="20" t="str">
        <x:v>Pre-Intermediate 9B (Direct) | Intermediate 2B (Direct)</x:v>
      </x:c>
      <x:c r="G63" s="20" t="str">
        <x:v>Present perfect</x:v>
      </x:c>
      <x:c r="H63" s="20" t="str">
        <x:v>Yes</x:v>
      </x:c>
      <x:c r="I63" s="20" t="str">
        <x:v>src/data/hubGrammarActivities.js</x:v>
      </x:c>
    </x:row>
    <x:row r="64">
      <x:c r="A64" s="20" t="str">
        <x:v>present-perfect-extended-a2b1</x:v>
      </x:c>
      <x:c r="B64" s="20" t="str">
        <x:v>Present Perfect: Adverbs &amp; Form</x:v>
      </x:c>
      <x:c r="C64" s="20" t="str">
        <x:v>a2, b1</x:v>
      </x:c>
      <x:c r="D64" s="21" t="n">
        <x:v>18</x:v>
      </x:c>
      <x:c r="E64" s="20" t="str">
        <x:v>Complete practice for have/has and the adverbs just, already, and yet.</x:v>
      </x:c>
      <x:c r="F64" s="20" t="str">
        <x:v>Elementary 12A (Direct) | Pre-Intermediate 4A (Direct) | Intermediate Plus 5A (Direct)</x:v>
      </x:c>
      <x:c r="G64" s="20" t="str">
        <x:v>Present perfect</x:v>
      </x:c>
      <x:c r="H64" s="20" t="str">
        <x:v>Yes</x:v>
      </x:c>
      <x:c r="I64" s="20" t="str">
        <x:v>src/data/hubGrammarActivities.js</x:v>
      </x:c>
    </x:row>
    <x:row r="65">
      <x:c r="A65" s="20" t="str">
        <x:v>present-perfect-vs-past-simple-a2b1</x:v>
      </x:c>
      <x:c r="B65" s="20" t="str">
        <x:v>Present Perfect or Past Simple?</x:v>
      </x:c>
      <x:c r="C65" s="20" t="str">
        <x:v>a2, b1</x:v>
      </x:c>
      <x:c r="D65" s="21" t="n">
        <x:v>26</x:v>
      </x:c>
      <x:c r="E65" s="20" t="str">
        <x:v>Master the difference between finished past actions and life experiences.</x:v>
      </x:c>
      <x:c r="F65" s="20" t="str">
        <x:v>Elementary 12B (Direct) | Pre-Intermediate 4B (Direct) | Pre-Intermediate 9C (Direct) | Intermediate 2A (Direct)</x:v>
      </x:c>
      <x:c r="G65" s="20" t="str">
        <x:v>Present perfect</x:v>
      </x:c>
      <x:c r="H65" s="20" t="str">
        <x:v>Yes</x:v>
      </x:c>
      <x:c r="I65" s="20" t="str">
        <x:v>src/data/hubGrammarActivities.js</x:v>
      </x:c>
    </x:row>
    <x:row r="66">
      <x:c r="A66" s="20" t="str">
        <x:v>indefinite-pronouns-logic</x:v>
      </x:c>
      <x:c r="B66" s="20" t="str">
        <x:v>Something, Anything, Nothing</x:v>
      </x:c>
      <x:c r="C66" s="20" t="str">
        <x:v>a2, b1</x:v>
      </x:c>
      <x:c r="D66" s="21" t="n">
        <x:v>21</x:v>
      </x:c>
      <x:c r="E66" s="20" t="str">
        <x:v>Master the use of someone, anywhere, nothing, and more.</x:v>
      </x:c>
      <x:c r="F66" s="20" t="str">
        <x:v>Pre-Intermediate 4C (Direct)</x:v>
      </x:c>
      <x:c r="G66" s="20" t="str"/>
      <x:c r="H66" s="20" t="str">
        <x:v>Yes</x:v>
      </x:c>
      <x:c r="I66" s="20" t="str">
        <x:v>src/data/hubGrammarActivities.js</x:v>
      </x:c>
    </x:row>
    <x:row r="67">
      <x:c r="A67" s="20" t="str">
        <x:v>articles-advanced-mastery</x:v>
      </x:c>
      <x:c r="B67" s="20" t="str">
        <x:v>Articles: Geography, Institutions &amp; Nuance</x:v>
      </x:c>
      <x:c r="C67" s="20" t="str">
        <x:v>b2</x:v>
      </x:c>
      <x:c r="D67" s="21" t="n">
        <x:v>26</x:v>
      </x:c>
      <x:c r="E67" s="20" t="str">
        <x:v>Master the use of 'the', 'a/an', and the 'zero article' in complex contexts.</x:v>
      </x:c>
      <x:c r="F67" s="20" t="str">
        <x:v>Upper-Intermediate 10B (Direct) | Advanced Plus 3A (Adjacent level)</x:v>
      </x:c>
      <x:c r="G67" s="20" t="str"/>
      <x:c r="H67" s="20" t="str">
        <x:v>Yes</x:v>
      </x:c>
      <x:c r="I67" s="20" t="str">
        <x:v>src/data/hubGrammarActivities.js</x:v>
      </x:c>
    </x:row>
    <x:row r="68">
      <x:c r="A68" s="20" t="str">
        <x:v>b2-conditionals-and-time-clauses</x:v>
      </x:c>
      <x:c r="B68" s="20" t="str">
        <x:v>Logic of the Future: Conditionals &amp; Time Clauses</x:v>
      </x:c>
      <x:c r="C68" s="20" t="str">
        <x:v>b2</x:v>
      </x:c>
      <x:c r="D68" s="21" t="n">
        <x:v>25</x:v>
      </x:c>
      <x:c r="E68" s="20" t="str">
        <x:v>Advanced practice with if, unless, in case, and future deadlines.</x:v>
      </x:c>
      <x:c r="F68" s="20" t="str">
        <x:v>Upper-Intermediate 4B (Direct) | Advanced 6B (Adjacent level) | Advanced Plus 8A (Adjacent level)</x:v>
      </x:c>
      <x:c r="G68" s="20" t="str">
        <x:v>Conditionals</x:v>
      </x:c>
      <x:c r="H68" s="20" t="str">
        <x:v>Yes</x:v>
      </x:c>
      <x:c r="I68" s="20" t="str">
        <x:v>src/data/hubGrammarActivities.js</x:v>
      </x:c>
    </x:row>
    <x:row r="69">
      <x:c r="A69" s="20" t="str">
        <x:v>contrast-and-purpose</x:v>
      </x:c>
      <x:c r="B69" s="20" t="str">
        <x:v>Contrast and Purpose</x:v>
      </x:c>
      <x:c r="C69" s="20" t="str">
        <x:v>b2</x:v>
      </x:c>
      <x:c r="D69" s="21" t="n">
        <x:v>27</x:v>
      </x:c>
      <x:c r="E69" s="20" t="str">
        <x:v>Practise contrast linkers and purpose structures through multiple choice, error correction, and reformulation.</x:v>
      </x:c>
      <x:c r="F69" s="20" t="str">
        <x:v>Upper-Intermediate 9A (Direct) | Advanced Plus 5B (Adjacent level)</x:v>
      </x:c>
      <x:c r="G69" s="20" t="str"/>
      <x:c r="H69" s="20" t="str">
        <x:v>Yes</x:v>
      </x:c>
      <x:c r="I69" s="20" t="str">
        <x:v>src/data/hubGrammarActivities.js</x:v>
      </x:c>
    </x:row>
    <x:row r="70">
      <x:c r="A70" s="20" t="str">
        <x:v>unreal-past-tenses-c1</x:v>
      </x:c>
      <x:c r="B70" s="20" t="str">
        <x:v>C1 Mastery: Unreal Past Tenses</x:v>
      </x:c>
      <x:c r="C70" s="20" t="str">
        <x:v>c1</x:v>
      </x:c>
      <x:c r="D70" s="21" t="n">
        <x:v>25</x:v>
      </x:c>
      <x:c r="E70" s="20" t="str">
        <x:v>Practise wish, if only, would rather, and it's high time with unreal past forms.</x:v>
      </x:c>
      <x:c r="F70" s="20" t="str">
        <x:v>Advanced 5B (Direct)</x:v>
      </x:c>
      <x:c r="G70" s="20" t="str"/>
      <x:c r="H70" s="20" t="str">
        <x:v>Yes</x:v>
      </x:c>
      <x:c r="I70" s="20" t="str">
        <x:v>src/data/hubGrammarActivities.js</x:v>
      </x:c>
    </x:row>
    <x:row r="71">
      <x:c r="A71" s="20" t="str">
        <x:v>relative-clauses</x:v>
      </x:c>
      <x:c r="B71" s="20" t="str">
        <x:v>Relative Clauses</x:v>
      </x:c>
      <x:c r="C71" s="20" t="str">
        <x:v>b1</x:v>
      </x:c>
      <x:c r="D71" s="21" t="n">
        <x:v>32</x:v>
      </x:c>
      <x:c r="E71" s="20" t="str">
        <x:v>Practise who, which, where, whose, and comma use in relative clauses.</x:v>
      </x:c>
      <x:c r="F71" s="20" t="str">
        <x:v>Intermediate 10A (Direct) | Intermediate Plus 8B (Direct) | Advanced 10A (Adjacent level)</x:v>
      </x:c>
      <x:c r="G71" s="20" t="str"/>
      <x:c r="H71" s="20" t="str">
        <x:v>Yes</x:v>
      </x:c>
      <x:c r="I71" s="20" t="str">
        <x:v>src/data/hubGrammarActivities.js</x:v>
      </x:c>
    </x:row>
    <x:row r="72">
      <x:c r="A72" s="20" t="str">
        <x:v>expressing-movement-mastery</x:v>
      </x:c>
      <x:c r="B72" s="20" t="str">
        <x:v>Expressing Movement</x:v>
      </x:c>
      <x:c r="C72" s="20" t="str">
        <x:v>a2, b1</x:v>
      </x:c>
      <x:c r="D72" s="21" t="n">
        <x:v>29</x:v>
      </x:c>
      <x:c r="E72" s="20" t="str">
        <x:v>Master prepositions and adverbs of direction.</x:v>
      </x:c>
      <x:c r="F72" s="20" t="str">
        <x:v>Pre-Intermediate 10A (Direct)</x:v>
      </x:c>
      <x:c r="G72" s="20" t="str"/>
      <x:c r="H72" s="20" t="str">
        <x:v>Yes</x:v>
      </x:c>
      <x:c r="I72" s="20" t="str">
        <x:v>src/data/hubGrammarActivities.js</x:v>
      </x:c>
    </x:row>
    <x:row r="73">
      <x:c r="A73" s="20" t="str">
        <x:v>phrasal-verb-precision-10b</x:v>
      </x:c>
      <x:c r="B73" s="20" t="str">
        <x:v>Phrasal Verbs: Word Order Mastery</x:v>
      </x:c>
      <x:c r="C73" s="20" t="str">
        <x:v>a2, b1</x:v>
      </x:c>
      <x:c r="D73" s="21" t="n">
        <x:v>15</x:v>
      </x:c>
      <x:c r="E73" s="20" t="str">
        <x:v>A curated 15-item test on separable and inseparable phrasal verbs.</x:v>
      </x:c>
      <x:c r="F73" s="20" t="str">
        <x:v>Pre-Intermediate 10B (Direct) | Intermediate Plus 7A (Partial)</x:v>
      </x:c>
      <x:c r="G73" s="20" t="str"/>
      <x:c r="H73" s="20" t="str">
        <x:v>Yes</x:v>
      </x:c>
      <x:c r="I73" s="20" t="str">
        <x:v>src/data/hubGrammarActivities.js</x:v>
      </x:c>
    </x:row>
    <x:row r="74">
      <x:c r="A74" s="20" t="str">
        <x:v>passive-voice-precision-10c</x:v>
      </x:c>
      <x:c r="B74" s="20" t="str">
        <x:v>The Passive: Focus and Form</x:v>
      </x:c>
      <x:c r="C74" s="20" t="str">
        <x:v>a2, b1</x:v>
      </x:c>
      <x:c r="D74" s="21" t="n">
        <x:v>15</x:v>
      </x:c>
      <x:c r="E74" s="20" t="str">
        <x:v>Build confidence with present and past passive forms through recognition, correction, and reformulation.</x:v>
      </x:c>
      <x:c r="F74" s="20" t="str">
        <x:v>Pre-Intermediate 10C (Direct)</x:v>
      </x:c>
      <x:c r="G74" s="20" t="str">
        <x:v>Passive</x:v>
      </x:c>
      <x:c r="H74" s="20" t="str">
        <x:v>Yes</x:v>
      </x:c>
      <x:c r="I74" s="20" t="str">
        <x:v>src/data/hubGrammarActivities.js</x:v>
      </x:c>
    </x:row>
    <x:row r="75">
      <x:c r="A75" s="20" t="str">
        <x:v>past-habits-used-to-11a</x:v>
      </x:c>
      <x:c r="B75" s="20" t="str">
        <x:v>Habits: used to and usually</x:v>
      </x:c>
      <x:c r="C75" s="20" t="str">
        <x:v>a2, b1</x:v>
      </x:c>
      <x:c r="D75" s="21" t="n">
        <x:v>17</x:v>
      </x:c>
      <x:c r="E75" s="20" t="str">
        <x:v>Contrast past habits with present routines using 'used to' and 'usually'.</x:v>
      </x:c>
      <x:c r="F75" s="20" t="str">
        <x:v>Pre-Intermediate 11A (Direct) | Intermediate Plus 3A (Direct)</x:v>
      </x:c>
      <x:c r="G75" s="20" t="str">
        <x:v>Habits / used to</x:v>
      </x:c>
      <x:c r="H75" s="20" t="str">
        <x:v>Yes</x:v>
      </x:c>
      <x:c r="I75" s="20" t="str">
        <x:v>src/data/hubGrammarActivities.js</x:v>
      </x:c>
    </x:row>
    <x:row r="76">
      <x:c r="A76" s="20" t="str">
        <x:v>possibility-might-general-11b</x:v>
      </x:c>
      <x:c r="B76" s="20" t="str">
        <x:v>Possibility: might and might not</x:v>
      </x:c>
      <x:c r="C76" s="20" t="str">
        <x:v>a2, b1</x:v>
      </x:c>
      <x:c r="D76" s="21" t="n">
        <x:v>15</x:v>
      </x:c>
      <x:c r="E76" s="20" t="str">
        <x:v>Master 'might' for future possibilities and uncertainty without visual aids.</x:v>
      </x:c>
      <x:c r="F76" s="20" t="str">
        <x:v>Pre-Intermediate 11B (Direct) | Advanced Plus 2A (Adjacent level)</x:v>
      </x:c>
      <x:c r="G76" s="20" t="str"/>
      <x:c r="H76" s="20" t="str">
        <x:v>Yes</x:v>
      </x:c>
      <x:c r="I76" s="20" t="str">
        <x:v>src/data/hubGrammarActivities.js</x:v>
      </x:c>
    </x:row>
    <x:row r="77">
      <x:c r="A77" s="20" t="str">
        <x:v>so-neither-auxiliaries-11c</x:v>
      </x:c>
      <x:c r="B77" s="20" t="str">
        <x:v>Agreements: So and Neither</x:v>
      </x:c>
      <x:c r="C77" s="20" t="str">
        <x:v>a2, b1</x:v>
      </x:c>
      <x:c r="D77" s="21" t="n">
        <x:v>19</x:v>
      </x:c>
      <x:c r="E77" s="20" t="str">
        <x:v>Master agreeing with positive and negative statements using the correct auxiliary.</x:v>
      </x:c>
      <x:c r="F77" s="20" t="str">
        <x:v>Pre-Intermediate 11C (Direct)</x:v>
      </x:c>
      <x:c r="G77" s="20" t="str"/>
      <x:c r="H77" s="20" t="str">
        <x:v>Yes</x:v>
      </x:c>
      <x:c r="I77" s="20" t="str">
        <x:v>src/data/hubGrammarActivities.js</x:v>
      </x:c>
    </x:row>
    <x:row r="78">
      <x:c r="A78" s="20" t="str">
        <x:v>past-perfect-logic-12a</x:v>
      </x:c>
      <x:c r="B78" s="20" t="str">
        <x:v>The Past Perfect: Logic &amp; Form</x:v>
      </x:c>
      <x:c r="C78" s="20" t="str">
        <x:v>a2, b1</x:v>
      </x:c>
      <x:c r="D78" s="21" t="n">
        <x:v>15</x:v>
      </x:c>
      <x:c r="E78" s="20" t="str">
        <x:v>Master the 'past of the past' using had and the past participle.</x:v>
      </x:c>
      <x:c r="F78" s="20" t="str">
        <x:v>Pre-Intermediate 12A (Direct) | Intermediate Plus 9B (Direct)</x:v>
      </x:c>
      <x:c r="G78" s="20" t="str"/>
      <x:c r="H78" s="20" t="str">
        <x:v>Yes</x:v>
      </x:c>
      <x:c r="I78" s="20" t="str">
        <x:v>src/data/hubGrammarActivities.js</x:v>
      </x:c>
    </x:row>
    <x:row r="79">
      <x:c r="A79" s="20" t="str">
        <x:v>reported-speech-mastery-12b</x:v>
      </x:c>
      <x:c r="B79" s="20" t="str">
        <x:v>Reported Speech: Backshift &amp; Form</x:v>
      </x:c>
      <x:c r="C79" s="20" t="str">
        <x:v>a2, b1</x:v>
      </x:c>
      <x:c r="D79" s="21" t="n">
        <x:v>15</x:v>
      </x:c>
      <x:c r="E79" s="20" t="str">
        <x:v>Practice reporting what people said using tense backshifting and pronoun changes.</x:v>
      </x:c>
      <x:c r="F79" s="20" t="str">
        <x:v>Pre-Intermediate 12B (Direct)</x:v>
      </x:c>
      <x:c r="G79" s="20" t="str">
        <x:v>Reported speech</x:v>
      </x:c>
      <x:c r="H79" s="20" t="str">
        <x:v>Yes</x:v>
      </x:c>
      <x:c r="I79" s="20" t="str">
        <x:v>src/data/hubGrammarActivities.js</x:v>
      </x:c>
    </x:row>
    <x:row r="80">
      <x:c r="A80" s="20" t="str">
        <x:v>subject-questions-12c</x:v>
      </x:c>
      <x:c r="B80" s="20" t="str">
        <x:v>Questions without auxiliaries</x:v>
      </x:c>
      <x:c r="C80" s="20" t="str">
        <x:v>a2, b1</x:v>
      </x:c>
      <x:c r="D80" s="21" t="n">
        <x:v>17</x:v>
      </x:c>
      <x:c r="E80" s="20" t="str">
        <x:v>Master 'subject questions' where we don't use do, does, or did.</x:v>
      </x:c>
      <x:c r="F80" s="20" t="str">
        <x:v>Pre-Intermediate 12C (Direct)</x:v>
      </x:c>
      <x:c r="G80" s="20" t="str">
        <x:v>Questions</x:v>
      </x:c>
      <x:c r="H80" s="20" t="str">
        <x:v>Yes</x:v>
      </x:c>
      <x:c r="I80" s="20" t="str">
        <x:v>src/data/hubGrammarActivities.js</x:v>
      </x:c>
    </x:row>
    <x:row r="81">
      <x:c r="A81" s="20" t="str">
        <x:v>advanced-have-mastery-1a</x:v>
      </x:c>
      <x:c r="B81" s="20" t="str">
        <x:v>Advanced 'Have': Lexical &amp; Grammatical Uses</x:v>
      </x:c>
      <x:c r="C81" s="20" t="str">
        <x:v>c1</x:v>
      </x:c>
      <x:c r="D81" s="21" t="n">
        <x:v>29</x:v>
      </x:c>
      <x:c r="E81" s="20" t="str">
        <x:v>Advanced practice with lexical, causative, and idiomatic uses of 'have'.</x:v>
      </x:c>
      <x:c r="F81" s="20" t="str">
        <x:v>Advanced 1A (Direct)</x:v>
      </x:c>
      <x:c r="G81" s="20" t="str"/>
      <x:c r="H81" s="20" t="str">
        <x:v>Yes</x:v>
      </x:c>
      <x:c r="I81" s="20" t="str">
        <x:v>src/data/hubGrammarActivities.js</x:v>
      </x:c>
    </x:row>
    <x:row r="82">
      <x:c r="A82" s="20" t="str">
        <x:v>advanced-linkers-mastery-1b</x:v>
      </x:c>
      <x:c r="B82" s="20" t="str">
        <x:v>Advanced Discourse Markers: Linkers</x:v>
      </x:c>
      <x:c r="C82" s="20" t="str">
        <x:v>c1</x:v>
      </x:c>
      <x:c r="D82" s="21" t="n">
        <x:v>30</x:v>
      </x:c>
      <x:c r="E82" s="20" t="str">
        <x:v>Advanced practice with linkers of result, reason, purpose, and contrast.</x:v>
      </x:c>
      <x:c r="F82" s="20" t="str">
        <x:v>Advanced 1B (Direct) | Advanced Plus 4A (Adjacent level)</x:v>
      </x:c>
      <x:c r="G82" s="20" t="str"/>
      <x:c r="H82" s="20" t="str">
        <x:v>Yes</x:v>
      </x:c>
      <x:c r="I82" s="20" t="str">
        <x:v>src/data/hubGrammarActivities.js</x:v>
      </x:c>
    </x:row>
    <x:row r="83">
      <x:c r="A83" s="20" t="str">
        <x:v>advanced-past-logic-mastery-1c</x:v>
      </x:c>
      <x:c r="B83" s="20" t="str">
        <x:v>The Past: Incidents and Habits</x:v>
      </x:c>
      <x:c r="C83" s="20" t="str">
        <x:v>c1</x:v>
      </x:c>
      <x:c r="D83" s="21" t="n">
        <x:v>30</x:v>
      </x:c>
      <x:c r="E83" s="20" t="str">
        <x:v>Advanced practice with narrative tenses and past habits.</x:v>
      </x:c>
      <x:c r="F83" s="20" t="str">
        <x:v>Advanced 2A (Direct) | Advanced Plus 4B (Adjacent level)</x:v>
      </x:c>
      <x:c r="G83" s="20" t="str"/>
      <x:c r="H83" s="20" t="str">
        <x:v>Yes</x:v>
      </x:c>
      <x:c r="I83" s="20" t="str">
        <x:v>src/data/hubGrammarActivities.js</x:v>
      </x:c>
    </x:row>
    <x:row r="84">
      <x:c r="A84" s="20" t="str">
        <x:v>advanced-pronouns-mastery-2a</x:v>
      </x:c>
      <x:c r="B84" s="20" t="str">
        <x:v>Advanced Pronouns: Generic, Reflexive, &amp; Preparatory Subjects</x:v>
      </x:c>
      <x:c r="C84" s="20" t="str">
        <x:v>c1</x:v>
      </x:c>
      <x:c r="D84" s="21" t="n">
        <x:v>28</x:v>
      </x:c>
      <x:c r="E84" s="20" t="str">
        <x:v>Advanced practice with generic pronouns, reflexives, and 'it' vs 'there'.</x:v>
      </x:c>
      <x:c r="F84" s="20" t="str">
        <x:v>Intermediate Plus 1A (Adjacent level) | Advanced 2B (Direct)</x:v>
      </x:c>
      <x:c r="G84" s="20" t="str"/>
      <x:c r="H84" s="20" t="str">
        <x:v>Yes</x:v>
      </x:c>
      <x:c r="I84" s="20" t="str">
        <x:v>src/data/hubGrammarActivities.js</x:v>
      </x:c>
    </x:row>
    <x:row r="85">
      <x:c r="A85" s="20" t="str">
        <x:v>advanced-get-mastery-3a</x:v>
      </x:c>
      <x:c r="B85" s="20" t="str">
        <x:v>Advanced 'Get': Syntax and Semantics</x:v>
      </x:c>
      <x:c r="C85" s="20" t="str">
        <x:v>c1</x:v>
      </x:c>
      <x:c r="D85" s="21" t="n">
        <x:v>30</x:v>
      </x:c>
      <x:c r="E85" s="20" t="str">
        <x:v>Advanced practice with causatives, passives, and other common uses of 'get'.</x:v>
      </x:c>
      <x:c r="F85" s="20" t="str">
        <x:v>Advanced 3A (Direct)</x:v>
      </x:c>
      <x:c r="G85" s="20" t="str"/>
      <x:c r="H85" s="20" t="str">
        <x:v>Yes</x:v>
      </x:c>
      <x:c r="I85" s="20" t="str">
        <x:v>src/data/hubGrammarActivities.js</x:v>
      </x:c>
    </x:row>
    <x:row r="86">
      <x:c r="A86" s="20" t="str">
        <x:v>advanced-discourse-markers-3b</x:v>
      </x:c>
      <x:c r="B86" s="20" t="str">
        <x:v>Discourse Markers: Adverbs &amp; Adverbial Expressions</x:v>
      </x:c>
      <x:c r="C86" s="20" t="str">
        <x:v>c1</x:v>
      </x:c>
      <x:c r="D86" s="21" t="n">
        <x:v>25</x:v>
      </x:c>
      <x:c r="E86" s="20" t="str">
        <x:v>Advanced practice with discourse markers for flow, clarification, and topic change.</x:v>
      </x:c>
      <x:c r="F86" s="20" t="str">
        <x:v>Advanced 3B (Direct) | Advanced Plus 6A (Adjacent level)</x:v>
      </x:c>
      <x:c r="G86" s="20" t="str"/>
      <x:c r="H86" s="20" t="str">
        <x:v>Yes</x:v>
      </x:c>
      <x:c r="I86" s="20" t="str">
        <x:v>src/data/hubGrammarActivities.js</x:v>
      </x:c>
    </x:row>
    <x:row r="87">
      <x:c r="A87" s="20" t="str">
        <x:v>advanced-inversion-mastery-4a</x:v>
      </x:c>
      <x:c r="B87" s="20" t="str">
        <x:v>Advanced Emphasis: Inversion</x:v>
      </x:c>
      <x:c r="C87" s="20" t="str">
        <x:v>c1</x:v>
      </x:c>
      <x:c r="D87" s="21" t="n">
        <x:v>30</x:v>
      </x:c>
      <x:c r="E87" s="20" t="str">
        <x:v>Advanced practice with inversion after negative adverbials.</x:v>
      </x:c>
      <x:c r="F87" s="20" t="str">
        <x:v>Advanced 4A (Direct)</x:v>
      </x:c>
      <x:c r="G87" s="20" t="str"/>
      <x:c r="H87" s="20" t="str">
        <x:v>Yes</x:v>
      </x:c>
      <x:c r="I87" s="20" t="str">
        <x:v>src/data/hubGrammarActivities.js</x:v>
      </x:c>
    </x:row>
    <x:row r="88">
      <x:c r="A88" s="20" t="str">
        <x:v>advanced-speculation-deduction-4b</x:v>
      </x:c>
      <x:c r="B88" s="20" t="str">
        <x:v>Advanced Speculation and Deduction</x:v>
      </x:c>
      <x:c r="C88" s="20" t="str">
        <x:v>c1</x:v>
      </x:c>
      <x:c r="D88" s="21" t="n">
        <x:v>30</x:v>
      </x:c>
      <x:c r="E88" s="20" t="str">
        <x:v>Advanced practice with speculation, deduction, and degrees of certainty.</x:v>
      </x:c>
      <x:c r="F88" s="20" t="str">
        <x:v>Advanced 4B (Direct)</x:v>
      </x:c>
      <x:c r="G88" s="20" t="str"/>
      <x:c r="H88" s="20" t="str">
        <x:v>Yes</x:v>
      </x:c>
      <x:c r="I88" s="20" t="str">
        <x:v>src/data/hubGrammarActivities.js</x:v>
      </x:c>
    </x:row>
    <x:row r="89">
      <x:c r="A89" s="20" t="str">
        <x:v>advanced-distancing-mastery-5a</x:v>
      </x:c>
      <x:c r="B89" s="20" t="str">
        <x:v>Advanced Distancing: Seem, Passive Reporting, &amp; Attribution</x:v>
      </x:c>
      <x:c r="C89" s="20" t="str">
        <x:v>c1</x:v>
      </x:c>
      <x:c r="D89" s="21" t="n">
        <x:v>27</x:v>
      </x:c>
      <x:c r="E89" s="20" t="str">
        <x:v>Advanced practice with formal distancing and reported information.</x:v>
      </x:c>
      <x:c r="F89" s="20" t="str">
        <x:v>Advanced 5A (Direct)</x:v>
      </x:c>
      <x:c r="G89" s="20" t="str"/>
      <x:c r="H89" s="20" t="str">
        <x:v>Yes</x:v>
      </x:c>
      <x:c r="I89" s="20" t="str">
        <x:v>src/data/hubGrammarActivities.js</x:v>
      </x:c>
    </x:row>
  </x:sheetData>
  <x:pageMargins left="0.7" right="0.7" top="0.75" bottom="0.75" header="0.3" footer="0.3"/>
  <x:tableParts count="1">
    <x:tablePart xmlns:r="http://schemas.openxmlformats.org/officeDocument/2006/relationships" r:id="Rd7fa3a94e4ae47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38" hidden="0" customWidth="1"/>
    <x:col min="4" max="4" width="42" hidden="0" customWidth="1"/>
    <x:col min="5" max="5" width="20" hidden="0" customWidth="1"/>
    <x:col min="6" max="6" width="17" hidden="0" customWidth="1"/>
    <x:col min="7" max="7" width="55" hidden="0" customWidth="1"/>
    <x:col min="8" max="8" width="14" hidden="0" customWidth="1"/>
    <x:col min="9" max="9" width="14" hidden="0" customWidth="1"/>
    <x:col min="10" max="10" width="38" hidden="0" customWidth="1"/>
  </x:cols>
  <x:sheetData>
    <x:row r="1">
      <x:c r="A1" s="2" t="str">
        <x:v>Course-test template inventory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3" t="str">
        <x:v>Broad publisher-style assessments are kept separate from Mini Grammar Tests. English File templates are in scope; Insight templates are shown for completeness.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34" customHeight="1">
      <x:c r="A4" s="15" t="str">
        <x:v>In EF4 audit scope</x:v>
      </x:c>
      <x:c r="B4" s="16" t="str">
        <x:v>Provider</x:v>
      </x:c>
      <x:c r="C4" s="16" t="str">
        <x:v>Course</x:v>
      </x:c>
      <x:c r="D4" s="16" t="str">
        <x:v>Title</x:v>
      </x:c>
      <x:c r="E4" s="16" t="str">
        <x:v>Internal level</x:v>
      </x:c>
      <x:c r="F4" s="16" t="str">
        <x:v>Kind</x:v>
      </x:c>
      <x:c r="G4" s="16" t="str">
        <x:v>Grammar sections</x:v>
      </x:c>
      <x:c r="H4" s="16" t="str">
        <x:v>Grammar items</x:v>
      </x:c>
      <x:c r="I4" s="16" t="str">
        <x:v>Total sections</x:v>
      </x:c>
      <x:c r="J4" s="17" t="str">
        <x:v>Repository source</x:v>
      </x:c>
    </x:row>
    <x:row r="5">
      <x:c r="A5" s="20" t="str">
        <x:v>Yes</x:v>
      </x:c>
      <x:c r="B5" s="20" t="str">
        <x:v>Oxford</x:v>
      </x:c>
      <x:c r="C5" s="20" t="str">
        <x:v>English File 4th Edition Intermediate</x:v>
      </x:c>
      <x:c r="D5" s="20" t="str">
        <x:v>EF4 Intermediate Progress Test 1-5A</x:v>
      </x:c>
      <x:c r="E5" s="20" t="str">
        <x:v>b1</x:v>
      </x:c>
      <x:c r="F5" s="20" t="str">
        <x:v>progress</x:v>
      </x:c>
      <x:c r="G5" s="20" t="str">
        <x:v>Grammar 1: Verb forms | Grammar 2: One-word completion | Grammar 3: Negative transformation | Grammar 4: Question ordering | Grammar 5: Underline the correct word(s)</x:v>
      </x:c>
      <x:c r="H5" s="21" t="n">
        <x:v>40</x:v>
      </x:c>
      <x:c r="I5" s="21" t="n">
        <x:v>15</x:v>
      </x:c>
      <x:c r="J5" s="20" t="str">
        <x:v>src/data/hubCourseTestTemplates.js</x:v>
      </x:c>
    </x:row>
    <x:row r="6">
      <x:c r="A6" s="20" t="str">
        <x:v>Yes</x:v>
      </x:c>
      <x:c r="B6" s="20" t="str">
        <x:v>Oxford</x:v>
      </x:c>
      <x:c r="C6" s="20" t="str">
        <x:v>English File 4th Edition Intermediate</x:v>
      </x:c>
      <x:c r="D6" s="20" t="str">
        <x:v>EF4 Intermediate End-of-course Test A</x:v>
      </x:c>
      <x:c r="E6" s="20" t="str">
        <x:v>b1</x:v>
      </x:c>
      <x:c r="F6" s="20" t="str">
        <x:v>end-of-course</x:v>
      </x:c>
      <x:c r="G6" s="20" t="str">
        <x:v>Grammar 1: Verb forms | Grammar 2: Two-word completion | Grammar 3: Sentence transformation | Grammar 4: Underline the correct word(s)</x:v>
      </x:c>
      <x:c r="H6" s="21" t="n">
        <x:v>40</x:v>
      </x:c>
      <x:c r="I6" s="21" t="n">
        <x:v>15</x:v>
      </x:c>
      <x:c r="J6" s="20" t="str">
        <x:v>src/data/hubCourseTestTemplates.js</x:v>
      </x:c>
    </x:row>
    <x:row r="7">
      <x:c r="A7" s="20" t="str">
        <x:v>Yes</x:v>
      </x:c>
      <x:c r="B7" s="20" t="str">
        <x:v>Oxford</x:v>
      </x:c>
      <x:c r="C7" s="20" t="str">
        <x:v>English File 4th Edition Elementary</x:v>
      </x:c>
      <x:c r="D7" s="20" t="str">
        <x:v>EF4 Elementary Progress Test 1-6A</x:v>
      </x:c>
      <x:c r="E7" s="20" t="str">
        <x:v>a1-a2</x:v>
      </x:c>
      <x:c r="F7" s="20" t="str">
        <x:v>progress</x:v>
      </x:c>
      <x:c r="G7" s="20" t="str">
        <x:v>Grammar 1: Verb forms | Grammar 2: One-word completion | Grammar 3: Underline the correct form</x:v>
      </x:c>
      <x:c r="H7" s="21" t="n">
        <x:v>40</x:v>
      </x:c>
      <x:c r="I7" s="21" t="n">
        <x:v>13</x:v>
      </x:c>
      <x:c r="J7" s="20" t="str">
        <x:v>src/data/hubCourseTestTemplates.js</x:v>
      </x:c>
    </x:row>
    <x:row r="8">
      <x:c r="A8" s="20" t="str">
        <x:v>Yes</x:v>
      </x:c>
      <x:c r="B8" s="20" t="str">
        <x:v>Oxford</x:v>
      </x:c>
      <x:c r="C8" s="20" t="str">
        <x:v>English File 4th Edition Elementary</x:v>
      </x:c>
      <x:c r="D8" s="20" t="str">
        <x:v>EF4 Elementary End-of-course Test A</x:v>
      </x:c>
      <x:c r="E8" s="20" t="str">
        <x:v>a1-a2</x:v>
      </x:c>
      <x:c r="F8" s="20" t="str">
        <x:v>end-of-course</x:v>
      </x:c>
      <x:c r="G8" s="20" t="str">
        <x:v>Grammar 1: Complete the sentences | Grammar 2: Underline the correct form | Grammar 3: Verb forms</x:v>
      </x:c>
      <x:c r="H8" s="21" t="n">
        <x:v>40</x:v>
      </x:c>
      <x:c r="I8" s="21" t="n">
        <x:v>13</x:v>
      </x:c>
      <x:c r="J8" s="20" t="str">
        <x:v>src/data/hubCourseTestTemplates.js</x:v>
      </x:c>
    </x:row>
    <x:row r="9">
      <x:c r="A9" s="20" t="str">
        <x:v>Yes</x:v>
      </x:c>
      <x:c r="B9" s="20" t="str">
        <x:v>Oxford</x:v>
      </x:c>
      <x:c r="C9" s="20" t="str">
        <x:v>English File 4th Edition Beginner</x:v>
      </x:c>
      <x:c r="D9" s="20" t="str">
        <x:v>EF4 Beginner Progress Test 1-6A</x:v>
      </x:c>
      <x:c r="E9" s="20" t="str">
        <x:v>beginner</x:v>
      </x:c>
      <x:c r="F9" s="20" t="str">
        <x:v>progress</x:v>
      </x:c>
      <x:c r="G9" s="20" t="str">
        <x:v>Grammar 1: Multiple choice | Grammar 2: Put the words in order | Grammar 3: Underline the correct word</x:v>
      </x:c>
      <x:c r="H9" s="21" t="n">
        <x:v>30</x:v>
      </x:c>
      <x:c r="I9" s="21" t="n">
        <x:v>13</x:v>
      </x:c>
      <x:c r="J9" s="20" t="str">
        <x:v>src/data/hubCourseTestTemplates.js</x:v>
      </x:c>
    </x:row>
    <x:row r="10">
      <x:c r="A10" s="20" t="str">
        <x:v>Yes</x:v>
      </x:c>
      <x:c r="B10" s="20" t="str">
        <x:v>Oxford</x:v>
      </x:c>
      <x:c r="C10" s="20" t="str">
        <x:v>English File 4th Edition Beginner</x:v>
      </x:c>
      <x:c r="D10" s="20" t="str">
        <x:v>EF4 Beginner End-of-course Test A</x:v>
      </x:c>
      <x:c r="E10" s="20" t="str">
        <x:v>beginner</x:v>
      </x:c>
      <x:c r="F10" s="20" t="str">
        <x:v>end-of-course</x:v>
      </x:c>
      <x:c r="G10" s="20" t="str">
        <x:v>Grammar 1: Multiple choice | Grammar 2: Verb forms | Grammar 3: Put the words in order</x:v>
      </x:c>
      <x:c r="H10" s="21" t="n">
        <x:v>30</x:v>
      </x:c>
      <x:c r="I10" s="21" t="n">
        <x:v>13</x:v>
      </x:c>
      <x:c r="J10" s="20" t="str">
        <x:v>src/data/hubCourseTestTemplates.js</x:v>
      </x:c>
    </x:row>
    <x:row r="11">
      <x:c r="A11" s="20" t="str">
        <x:v>Yes</x:v>
      </x:c>
      <x:c r="B11" s="20" t="str">
        <x:v>Oxford</x:v>
      </x:c>
      <x:c r="C11" s="20" t="str">
        <x:v>English File 4th Edition Pre-Intermediate</x:v>
      </x:c>
      <x:c r="D11" s="20" t="str">
        <x:v>EF4 Pre-Intermediate Progress Test 1-6A</x:v>
      </x:c>
      <x:c r="E11" s="20" t="str">
        <x:v>pre-intermediate</x:v>
      </x:c>
      <x:c r="F11" s="20" t="str">
        <x:v>progress</x:v>
      </x:c>
      <x:c r="G11" s="20" t="str">
        <x:v>Grammar 1: Verb forms | Grammar 2: Put the words in order | Grammar 3: Underline the correct form | Grammar 4: Negative sentences | Grammar 5: One-word completion</x:v>
      </x:c>
      <x:c r="H11" s="21" t="n">
        <x:v>40</x:v>
      </x:c>
      <x:c r="I11" s="21" t="n">
        <x:v>15</x:v>
      </x:c>
      <x:c r="J11" s="20" t="str">
        <x:v>src/data/hubCourseTestTemplates.js</x:v>
      </x:c>
    </x:row>
    <x:row r="12">
      <x:c r="A12" s="20" t="str">
        <x:v>Yes</x:v>
      </x:c>
      <x:c r="B12" s="20" t="str">
        <x:v>Oxford</x:v>
      </x:c>
      <x:c r="C12" s="20" t="str">
        <x:v>English File 4th Edition Pre-Intermediate</x:v>
      </x:c>
      <x:c r="D12" s="20" t="str">
        <x:v>EF4 Pre-Intermediate End-of-course Test A</x:v>
      </x:c>
      <x:c r="E12" s="20" t="str">
        <x:v>pre-intermediate</x:v>
      </x:c>
      <x:c r="F12" s="20" t="str">
        <x:v>end-of-course</x:v>
      </x:c>
      <x:c r="G12" s="20" t="str">
        <x:v>Grammar 1: Put the words in order | Grammar 2: Verb forms | Grammar 3: One-word completion | Grammar 4: Underline the correct word(s)</x:v>
      </x:c>
      <x:c r="H12" s="21" t="n">
        <x:v>40</x:v>
      </x:c>
      <x:c r="I12" s="21" t="n">
        <x:v>16</x:v>
      </x:c>
      <x:c r="J12" s="20" t="str">
        <x:v>src/data/hubCourseTestTemplates.js</x:v>
      </x:c>
    </x:row>
    <x:row r="13">
      <x:c r="A13" s="20" t="str">
        <x:v>Yes</x:v>
      </x:c>
      <x:c r="B13" s="20" t="str">
        <x:v>Oxford</x:v>
      </x:c>
      <x:c r="C13" s="20" t="str">
        <x:v>English File 4th Edition Intermediate Plus</x:v>
      </x:c>
      <x:c r="D13" s="20" t="str">
        <x:v>EF4 Intermediate Plus Progress Test 1-5A</x:v>
      </x:c>
      <x:c r="E13" s="20" t="str">
        <x:v>intermediate-plus</x:v>
      </x:c>
      <x:c r="F13" s="20" t="str">
        <x:v>progress</x:v>
      </x:c>
      <x:c r="G13" s="20" t="str">
        <x:v>Grammar 1: Complete the sentences | Grammar 2: Correct the mistakes | Grammar 3: Verb forms</x:v>
      </x:c>
      <x:c r="H13" s="21" t="n">
        <x:v>40</x:v>
      </x:c>
      <x:c r="I13" s="21" t="n">
        <x:v>13</x:v>
      </x:c>
      <x:c r="J13" s="20" t="str">
        <x:v>src/data/hubCourseTestTemplates.js</x:v>
      </x:c>
    </x:row>
    <x:row r="14">
      <x:c r="A14" s="20" t="str">
        <x:v>Yes</x:v>
      </x:c>
      <x:c r="B14" s="20" t="str">
        <x:v>Oxford</x:v>
      </x:c>
      <x:c r="C14" s="20" t="str">
        <x:v>English File 4th Edition Intermediate Plus</x:v>
      </x:c>
      <x:c r="D14" s="20" t="str">
        <x:v>EF4 Intermediate Plus End-of-course Test A</x:v>
      </x:c>
      <x:c r="E14" s="20" t="str">
        <x:v>intermediate-plus</x:v>
      </x:c>
      <x:c r="F14" s="20" t="str">
        <x:v>end-of-course</x:v>
      </x:c>
      <x:c r="G14" s="20" t="str">
        <x:v>Grammar 1: Complete the sentences | Grammar 2: Complete the second sentence | Grammar 3: Verb forms</x:v>
      </x:c>
      <x:c r="H14" s="21" t="n">
        <x:v>40</x:v>
      </x:c>
      <x:c r="I14" s="21" t="n">
        <x:v>11</x:v>
      </x:c>
      <x:c r="J14" s="20" t="str">
        <x:v>src/data/hubCourseTestTemplates.js</x:v>
      </x:c>
    </x:row>
    <x:row r="15">
      <x:c r="A15" s="20" t="str">
        <x:v>Yes</x:v>
      </x:c>
      <x:c r="B15" s="20" t="str">
        <x:v>Oxford</x:v>
      </x:c>
      <x:c r="C15" s="20" t="str">
        <x:v>English File 4th Edition Upper Intermediate</x:v>
      </x:c>
      <x:c r="D15" s="20" t="str">
        <x:v>EF4 Upper-Intermediate Progress Test 1-5A</x:v>
      </x:c>
      <x:c r="E15" s="20" t="str">
        <x:v>upper-intermediate</x:v>
      </x:c>
      <x:c r="F15" s="20" t="str">
        <x:v>progress</x:v>
      </x:c>
      <x:c r="G15" s="20" t="str">
        <x:v>Grammar 1: Verb forms | Grammar 2: Order the words | Grammar 3: Complete the sentences</x:v>
      </x:c>
      <x:c r="H15" s="21" t="n">
        <x:v>40</x:v>
      </x:c>
      <x:c r="I15" s="21" t="n">
        <x:v>13</x:v>
      </x:c>
      <x:c r="J15" s="20" t="str">
        <x:v>src/data/hubCourseTestTemplates.js</x:v>
      </x:c>
    </x:row>
    <x:row r="16">
      <x:c r="A16" s="20" t="str">
        <x:v>Yes</x:v>
      </x:c>
      <x:c r="B16" s="20" t="str">
        <x:v>Oxford</x:v>
      </x:c>
      <x:c r="C16" s="20" t="str">
        <x:v>English File 4th Edition Upper Intermediate</x:v>
      </x:c>
      <x:c r="D16" s="20" t="str">
        <x:v>EF4 Upper-Intermediate End-of-course Test A</x:v>
      </x:c>
      <x:c r="E16" s="20" t="str">
        <x:v>upper-intermediate</x:v>
      </x:c>
      <x:c r="F16" s="20" t="str">
        <x:v>end-of-course</x:v>
      </x:c>
      <x:c r="G16" s="20" t="str">
        <x:v>Grammar 1: Verb forms | Grammar 2: One-word completion | Grammar 3: Complete the sentences with the correct word(s)</x:v>
      </x:c>
      <x:c r="H16" s="21" t="n">
        <x:v>40</x:v>
      </x:c>
      <x:c r="I16" s="21" t="n">
        <x:v>11</x:v>
      </x:c>
      <x:c r="J16" s="20" t="str">
        <x:v>src/data/hubCourseTestTemplates.js</x:v>
      </x:c>
    </x:row>
    <x:row r="17">
      <x:c r="A17" s="20" t="str">
        <x:v>No</x:v>
      </x:c>
      <x:c r="B17" s="20" t="str">
        <x:v>Oxford</x:v>
      </x:c>
      <x:c r="C17" s="20" t="str">
        <x:v>Insight Upper-Intermediate</x:v>
      </x:c>
      <x:c r="D17" s="20" t="str">
        <x:v>Insight Upper-Intermediate Progress Test 1-5</x:v>
      </x:c>
      <x:c r="E17" s="20" t="str">
        <x:v>upper-intermediate</x:v>
      </x:c>
      <x:c r="F17" s="20" t="str">
        <x:v>progress</x:v>
      </x:c>
      <x:c r="G17" s="20" t="str">
        <x:v>Grammar A: Multiple choice | Grammar B: Sentence completion | Grammar C: Key word transformations</x:v>
      </x:c>
      <x:c r="H17" s="21" t="n">
        <x:v>30</x:v>
      </x:c>
      <x:c r="I17" s="21" t="n">
        <x:v>8</x:v>
      </x:c>
      <x:c r="J17" s="20" t="str">
        <x:v>src/data/hubCourseTestTemplates.js</x:v>
      </x:c>
    </x:row>
    <x:row r="18">
      <x:c r="A18" s="20" t="str">
        <x:v>No</x:v>
      </x:c>
      <x:c r="B18" s="20" t="str">
        <x:v>Oxford</x:v>
      </x:c>
      <x:c r="C18" s="20" t="str">
        <x:v>Insight Upper-Intermediate</x:v>
      </x:c>
      <x:c r="D18" s="20" t="str">
        <x:v>Insight Upper-intermediate End-of-year Test A</x:v>
      </x:c>
      <x:c r="E18" s="20" t="str">
        <x:v>upper-intermediate</x:v>
      </x:c>
      <x:c r="F18" s="20" t="str">
        <x:v>end-of-course</x:v>
      </x:c>
      <x:c r="G18" s="20" t="str">
        <x:v>Grammar: Multiple choice</x:v>
      </x:c>
      <x:c r="H18" s="21" t="n">
        <x:v>20</x:v>
      </x:c>
      <x:c r="I18" s="21" t="n">
        <x:v>6</x:v>
      </x:c>
      <x:c r="J18" s="20" t="str">
        <x:v>src/data/hubCourseTestTemplates.js</x:v>
      </x:c>
    </x:row>
    <x:row r="19">
      <x:c r="A19" s="20" t="str">
        <x:v>No</x:v>
      </x:c>
      <x:c r="B19" s="20" t="str">
        <x:v>Oxford</x:v>
      </x:c>
      <x:c r="C19" s="20" t="str">
        <x:v>Insight Advanced</x:v>
      </x:c>
      <x:c r="D19" s="20" t="str">
        <x:v>Insight Advanced Progress Test Units 1-5</x:v>
      </x:c>
      <x:c r="E19" s="20" t="str">
        <x:v>advanced</x:v>
      </x:c>
      <x:c r="F19" s="20" t="str">
        <x:v>progress</x:v>
      </x:c>
      <x:c r="G19" s="20" t="str">
        <x:v>Grammar A: Multiple choice | Grammar B: Sentence completion | Grammar C: Multiple choice</x:v>
      </x:c>
      <x:c r="H19" s="21" t="n">
        <x:v>22</x:v>
      </x:c>
      <x:c r="I19" s="21" t="n">
        <x:v>9</x:v>
      </x:c>
      <x:c r="J19" s="20" t="str">
        <x:v>src/data/hubCourseTestTemplates.js</x:v>
      </x:c>
    </x:row>
    <x:row r="20">
      <x:c r="A20" s="20" t="str">
        <x:v>No</x:v>
      </x:c>
      <x:c r="B20" s="20" t="str">
        <x:v>Oxford</x:v>
      </x:c>
      <x:c r="C20" s="20" t="str">
        <x:v>Insight Advanced</x:v>
      </x:c>
      <x:c r="D20" s="20" t="str">
        <x:v>Insight Advanced End-of-year Test A</x:v>
      </x:c>
      <x:c r="E20" s="20" t="str">
        <x:v>advanced</x:v>
      </x:c>
      <x:c r="F20" s="20" t="str">
        <x:v>end-of-course</x:v>
      </x:c>
      <x:c r="G20" s="20" t="str">
        <x:v>Grammar: Multiple choice</x:v>
      </x:c>
      <x:c r="H20" s="21" t="n">
        <x:v>20</x:v>
      </x:c>
      <x:c r="I20" s="21" t="n">
        <x:v>7</x:v>
      </x:c>
      <x:c r="J20" s="20" t="str">
        <x:v>src/data/hubCourseTestTemplates.js</x:v>
      </x:c>
    </x:row>
    <x:row r="21">
      <x:c r="A21" s="20" t="str">
        <x:v>Yes</x:v>
      </x:c>
      <x:c r="B21" s="20" t="str">
        <x:v>Oxford</x:v>
      </x:c>
      <x:c r="C21" s="20" t="str">
        <x:v>English File 4th Edition Advanced</x:v>
      </x:c>
      <x:c r="D21" s="20" t="str">
        <x:v>EF4 Advanced Progress Test 1-5A</x:v>
      </x:c>
      <x:c r="E21" s="20" t="str">
        <x:v>advanced</x:v>
      </x:c>
      <x:c r="F21" s="20" t="str">
        <x:v>progress</x:v>
      </x:c>
      <x:c r="G21" s="20" t="str">
        <x:v>Grammar 1: Verb forms | Grammar 2: Underline the correct word(s) | Grammar 3: Complete the sentences</x:v>
      </x:c>
      <x:c r="H21" s="21" t="n">
        <x:v>40</x:v>
      </x:c>
      <x:c r="I21" s="21" t="n">
        <x:v>13</x:v>
      </x:c>
      <x:c r="J21" s="20" t="str">
        <x:v>src/data/hubCourseTestTemplates.js</x:v>
      </x:c>
    </x:row>
    <x:row r="22">
      <x:c r="A22" s="20" t="str">
        <x:v>Yes</x:v>
      </x:c>
      <x:c r="B22" s="20" t="str">
        <x:v>Oxford</x:v>
      </x:c>
      <x:c r="C22" s="20" t="str">
        <x:v>English File 4th Edition Advanced</x:v>
      </x:c>
      <x:c r="D22" s="20" t="str">
        <x:v>EF4 Advanced End-of-course Test A</x:v>
      </x:c>
      <x:c r="E22" s="20" t="str">
        <x:v>advanced</x:v>
      </x:c>
      <x:c r="F22" s="20" t="str">
        <x:v>end-of-course</x:v>
      </x:c>
      <x:c r="G22" s="20" t="str">
        <x:v>Grammar 1: Verb forms | Grammar 2: One-word completion | Grammar 3: Complete the sentences</x:v>
      </x:c>
      <x:c r="H22" s="21" t="n">
        <x:v>40</x:v>
      </x:c>
      <x:c r="I22" s="21" t="n">
        <x:v>13</x:v>
      </x:c>
      <x:c r="J22" s="20" t="str">
        <x:v>src/data/hubCourseTestTemplates.js</x:v>
      </x:c>
    </x:row>
    <x:row r="23">
      <x:c r="A23" s="20" t="str">
        <x:v>Yes</x:v>
      </x:c>
      <x:c r="B23" s="20" t="str">
        <x:v>Oxford</x:v>
      </x:c>
      <x:c r="C23" s="20" t="str">
        <x:v>English File 4th Edition Advanced Plus</x:v>
      </x:c>
      <x:c r="D23" s="20" t="str">
        <x:v>EF4 Advanced Plus Progress Test 1-4A</x:v>
      </x:c>
      <x:c r="E23" s="20" t="str">
        <x:v>advanced-plus</x:v>
      </x:c>
      <x:c r="F23" s="20" t="str">
        <x:v>progress</x:v>
      </x:c>
      <x:c r="G23" s="20" t="str">
        <x:v>Grammar 1: Complete the sentences | Grammar 2: Verb forms | Grammar 3: Underline the correct word(s)</x:v>
      </x:c>
      <x:c r="H23" s="21" t="n">
        <x:v>30</x:v>
      </x:c>
      <x:c r="I23" s="21" t="n">
        <x:v>13</x:v>
      </x:c>
      <x:c r="J23" s="20" t="str">
        <x:v>src/data/hubCourseTestTemplates.js</x:v>
      </x:c>
    </x:row>
    <x:row r="24">
      <x:c r="A24" s="20" t="str">
        <x:v>Yes</x:v>
      </x:c>
      <x:c r="B24" s="20" t="str">
        <x:v>Oxford</x:v>
      </x:c>
      <x:c r="C24" s="20" t="str">
        <x:v>English File 4th Edition Advanced Plus</x:v>
      </x:c>
      <x:c r="D24" s="20" t="str">
        <x:v>EF4 Advanced Plus End-of-course Test A</x:v>
      </x:c>
      <x:c r="E24" s="20" t="str">
        <x:v>advanced-plus</x:v>
      </x:c>
      <x:c r="F24" s="20" t="str">
        <x:v>end-of-course</x:v>
      </x:c>
      <x:c r="G24" s="20" t="str">
        <x:v>Grammar 1: Complete the sentences | Grammar 2: Verb forms | Grammar 3: One-word completion | Use of English 1: Sentence transformation</x:v>
      </x:c>
      <x:c r="H24" s="21" t="n">
        <x:v>40</x:v>
      </x:c>
      <x:c r="I24" s="21" t="n">
        <x:v>14</x:v>
      </x:c>
      <x:c r="J24" s="20" t="str">
        <x:v>src/data/hubCourseTestTemplates.js</x:v>
      </x:c>
    </x:row>
  </x:sheetData>
  <x:pageMargins left="0.7" right="0.7" top="0.75" bottom="0.75" header="0.3" footer="0.3"/>
  <x:tableParts count="1">
    <x:tablePart xmlns:r="http://schemas.openxmlformats.org/officeDocument/2006/relationships" r:id="R2863b00b49984d3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38" hidden="0" customWidth="1"/>
    <x:col min="5" max="5" width="52" hidden="0" customWidth="1"/>
    <x:col min="6" max="6" width="52" hidden="0" customWidth="1"/>
    <x:col min="7" max="7" width="18" hidden="0" customWidth="1"/>
    <x:col min="8" max="8" width="16" hidden="0" customWidth="1"/>
  </x:cols>
  <x:sheetData>
    <x:row r="1">
      <x:c r="A1" s="2" t="str">
        <x:v>Recommended build sequence</x:v>
      </x:c>
      <x:c r="B1" s="43"/>
      <x:c r="C1" s="43"/>
      <x:c r="D1" s="43"/>
      <x:c r="E1" s="43"/>
      <x:c r="F1" s="43"/>
      <x:c r="G1" s="43"/>
      <x:c r="H1" s="43"/>
    </x:row>
    <x:row r="2">
      <x:c r="A2" s="3" t="str">
        <x:v>Priorities are based on missing syllabus coverage, learner level, and whether a lower-level analogue can safely be reused.</x:v>
      </x:c>
      <x:c r="B2" s="44"/>
      <x:c r="C2" s="44"/>
      <x:c r="D2" s="44"/>
      <x:c r="E2" s="44"/>
      <x:c r="F2" s="44"/>
      <x:c r="G2" s="44"/>
      <x:c r="H2" s="44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 ht="34" customHeight="1">
      <x:c r="A4" s="15" t="str">
        <x:v>Priority</x:v>
      </x:c>
      <x:c r="B4" s="16" t="str">
        <x:v>Level</x:v>
      </x:c>
      <x:c r="C4" s="16" t="str">
        <x:v>Target files</x:v>
      </x:c>
      <x:c r="D4" s="16" t="str">
        <x:v>Proposed test or workstream</x:v>
      </x:c>
      <x:c r="E4" s="16" t="str">
        <x:v>Scope</x:v>
      </x:c>
      <x:c r="F4" s="16" t="str">
        <x:v>Reason</x:v>
      </x:c>
      <x:c r="G4" s="16" t="str">
        <x:v>Suggested tags</x:v>
      </x:c>
      <x:c r="H4" s="17" t="str">
        <x:v>Suggested items</x:v>
      </x:c>
    </x:row>
    <x:row r="5">
      <x:c r="A5" s="20" t="str">
        <x:v>High</x:v>
      </x:c>
      <x:c r="B5" s="20" t="str">
        <x:v>Beginner</x:v>
      </x:c>
      <x:c r="C5" s="20" t="str">
        <x:v>Files 1-2</x:v>
      </x:c>
      <x:c r="D5" s="20" t="str">
        <x:v>Be: forms and questions</x:v>
      </x:c>
      <x:c r="E5" s="20" t="str">
        <x:v>I/you/he/she/it/we/they; negatives; yes/no and Wh-/How questions</x:v>
      </x:c>
      <x:c r="F5" s="20" t="str">
        <x:v>No A1 mini-test pathway exists.</x:v>
      </x:c>
      <x:c r="G5" s="20" t="str">
        <x:v>a1</x:v>
      </x:c>
      <x:c r="H5" s="21" t="n">
        <x:v>24</x:v>
      </x:c>
    </x:row>
    <x:row r="6">
      <x:c r="A6" s="20" t="str">
        <x:v>High</x:v>
      </x:c>
      <x:c r="B6" s="20" t="str">
        <x:v>Beginner</x:v>
      </x:c>
      <x:c r="C6" s="20" t="str">
        <x:v>Files 3-4</x:v>
      </x:c>
      <x:c r="D6" s="20" t="str">
        <x:v>Nouns, demonstratives, possessives, and adjectives</x:v>
      </x:c>
      <x:c r="E6" s="20" t="str">
        <x:v>singular/plural; a/an; this/that/these/those; possessive adjectives/'s; basic adjectives</x:v>
      </x:c>
      <x:c r="F6" s="20" t="str">
        <x:v>Foundation grammar is absent.</x:v>
      </x:c>
      <x:c r="G6" s="20" t="str">
        <x:v>a1</x:v>
      </x:c>
      <x:c r="H6" s="21" t="n">
        <x:v>24</x:v>
      </x:c>
    </x:row>
    <x:row r="7">
      <x:c r="A7" s="20" t="str">
        <x:v>High</x:v>
      </x:c>
      <x:c r="B7" s="20" t="str">
        <x:v>Beginner</x:v>
      </x:c>
      <x:c r="C7" s="20" t="str">
        <x:v>Files 5-7</x:v>
      </x:c>
      <x:c r="D7" s="20" t="str">
        <x:v>Present simple foundation</x:v>
      </x:c>
      <x:c r="E7" s="20" t="str">
        <x:v>affirmative/negative/questions; third person; frequency; question order</x:v>
      </x:c>
      <x:c r="F7" s="20" t="str">
        <x:v>Current equivalent starts at A2/B1.</x:v>
      </x:c>
      <x:c r="G7" s="20" t="str">
        <x:v>a1</x:v>
      </x:c>
      <x:c r="H7" s="21" t="n">
        <x:v>25</x:v>
      </x:c>
    </x:row>
    <x:row r="8">
      <x:c r="A8" s="20" t="str">
        <x:v>High</x:v>
      </x:c>
      <x:c r="B8" s="20" t="str">
        <x:v>Beginner</x:v>
      </x:c>
      <x:c r="C8" s="20" t="str">
        <x:v>Files 7-8</x:v>
      </x:c>
      <x:c r="D8" s="20" t="str">
        <x:v>Commands, pronouns, ability, and preferences</x:v>
      </x:c>
      <x:c r="E8" s="20" t="str">
        <x:v>imperatives; object pronouns; can/can't; like/love/hate + -ing</x:v>
      </x:c>
      <x:c r="F8" s="20" t="str">
        <x:v>No level-aligned tests.</x:v>
      </x:c>
      <x:c r="G8" s="20" t="str">
        <x:v>a1</x:v>
      </x:c>
      <x:c r="H8" s="21" t="n">
        <x:v>20</x:v>
      </x:c>
    </x:row>
    <x:row r="9">
      <x:c r="A9" s="20" t="str">
        <x:v>High</x:v>
      </x:c>
      <x:c r="B9" s="20" t="str">
        <x:v>Beginner</x:v>
      </x:c>
      <x:c r="C9" s="20" t="str">
        <x:v>Files 9-10</x:v>
      </x:c>
      <x:c r="D9" s="20" t="str">
        <x:v>Present continuous and there be</x:v>
      </x:c>
      <x:c r="E9" s="20" t="str">
        <x:v>present continuous; simple vs continuous; there is/are; past be</x:v>
      </x:c>
      <x:c r="F9" s="20" t="str">
        <x:v>Only higher-level contrast practice exists.</x:v>
      </x:c>
      <x:c r="G9" s="20" t="str">
        <x:v>a1</x:v>
      </x:c>
      <x:c r="H9" s="21" t="n">
        <x:v>24</x:v>
      </x:c>
    </x:row>
    <x:row r="10">
      <x:c r="A10" s="20" t="str">
        <x:v>High</x:v>
      </x:c>
      <x:c r="B10" s="20" t="str">
        <x:v>Beginner</x:v>
      </x:c>
      <x:c r="C10" s="20" t="str">
        <x:v>Files 11-12</x:v>
      </x:c>
      <x:c r="D10" s="20" t="str">
        <x:v>Past simple at A1</x:v>
      </x:c>
      <x:c r="E10" s="20" t="str">
        <x:v>regular and high-frequency irregular verbs; mixed review</x:v>
      </x:c>
      <x:c r="F10" s="20" t="str">
        <x:v>Current past-simple test is tagged A2/B1.</x:v>
      </x:c>
      <x:c r="G10" s="20" t="str">
        <x:v>a1</x:v>
      </x:c>
      <x:c r="H10" s="21" t="n">
        <x:v>20</x:v>
      </x:c>
    </x:row>
    <x:row r="11">
      <x:c r="A11" s="20" t="str">
        <x:v>High</x:v>
      </x:c>
      <x:c r="B11" s="20" t="str">
        <x:v>Elementary</x:v>
      </x:c>
      <x:c r="C11" s="20" t="str">
        <x:v>Files 1-2</x:v>
      </x:c>
      <x:c r="D11" s="20" t="str">
        <x:v>Elementary foundations</x:v>
      </x:c>
      <x:c r="E11" s="20" t="str">
        <x:v>be; subject pronouns; nouns; adjectives; imperatives; let's</x:v>
      </x:c>
      <x:c r="F11" s="20" t="str">
        <x:v>Six early syllabus points have no focused test.</x:v>
      </x:c>
      <x:c r="G11" s="20" t="str">
        <x:v>a1,a2</x:v>
      </x:c>
      <x:c r="H11" s="21" t="n">
        <x:v>25</x:v>
      </x:c>
    </x:row>
    <x:row r="12">
      <x:c r="A12" s="20" t="str">
        <x:v>High</x:v>
      </x:c>
      <x:c r="B12" s="20" t="str">
        <x:v>Elementary</x:v>
      </x:c>
      <x:c r="C12" s="20" t="str">
        <x:v>File 4</x:v>
      </x:c>
      <x:c r="D12" s="20" t="str">
        <x:v>Possessive 's and prepositions</x:v>
      </x:c>
      <x:c r="E12" s="20" t="str">
        <x:v>Whose; possessive 's; time/place prepositions</x:v>
      </x:c>
      <x:c r="F12" s="20" t="str">
        <x:v>Not covered by the current possessive-pronoun test.</x:v>
      </x:c>
      <x:c r="G12" s="20" t="str">
        <x:v>a2</x:v>
      </x:c>
      <x:c r="H12" s="21" t="n">
        <x:v>18</x:v>
      </x:c>
    </x:row>
    <x:row r="13">
      <x:c r="A13" s="20" t="str">
        <x:v>Medium</x:v>
      </x:c>
      <x:c r="B13" s="20" t="str">
        <x:v>Elementary</x:v>
      </x:c>
      <x:c r="C13" s="20" t="str">
        <x:v>File 6</x:v>
      </x:c>
      <x:c r="D13" s="20" t="str">
        <x:v>Object pronouns and auxiliary choice</x:v>
      </x:c>
      <x:c r="E13" s="20" t="str">
        <x:v>object pronouns; like + -ing; be or do</x:v>
      </x:c>
      <x:c r="F13" s="20" t="str">
        <x:v>Coverage is missing or bundled in broader tests.</x:v>
      </x:c>
      <x:c r="G13" s="20" t="str">
        <x:v>a2</x:v>
      </x:c>
      <x:c r="H13" s="21" t="n">
        <x:v>18</x:v>
      </x:c>
    </x:row>
    <x:row r="14">
      <x:c r="A14" s="20" t="str">
        <x:v>High</x:v>
      </x:c>
      <x:c r="B14" s="20" t="str">
        <x:v>Elementary</x:v>
      </x:c>
      <x:c r="C14" s="20" t="str">
        <x:v>File 8</x:v>
      </x:c>
      <x:c r="D14" s="20" t="str">
        <x:v>There is/are and there was/were</x:v>
      </x:c>
      <x:c r="E14" s="20" t="str">
        <x:v>present and past there be; some/any</x:v>
      </x:c>
      <x:c r="F14" s="20" t="str">
        <x:v>No relevant mini test.</x:v>
      </x:c>
      <x:c r="G14" s="20" t="str">
        <x:v>a2</x:v>
      </x:c>
      <x:c r="H14" s="21" t="n">
        <x:v>18</x:v>
      </x:c>
    </x:row>
    <x:row r="15">
      <x:c r="A15" s="20" t="str">
        <x:v>High</x:v>
      </x:c>
      <x:c r="B15" s="20" t="str">
        <x:v>Elementary</x:v>
      </x:c>
      <x:c r="C15" s="20" t="str">
        <x:v>File 9</x:v>
      </x:c>
      <x:c r="D15" s="20" t="str">
        <x:v>Basic countability and quantifiers</x:v>
      </x:c>
      <x:c r="E15" s="20" t="str">
        <x:v>countable/uncountable; a/an; some/any; much/many/a lot of</x:v>
      </x:c>
      <x:c r="F15" s="20" t="str">
        <x:v>Available noun test is B2 and unsuitable as the main A2 test.</x:v>
      </x:c>
      <x:c r="G15" s="20" t="str">
        <x:v>a2</x:v>
      </x:c>
      <x:c r="H15" s="21" t="n">
        <x:v>20</x:v>
      </x:c>
    </x:row>
    <x:row r="16">
      <x:c r="A16" s="20" t="str">
        <x:v>Medium</x:v>
      </x:c>
      <x:c r="B16" s="20" t="str">
        <x:v>Elementary</x:v>
      </x:c>
      <x:c r="C16" s="20" t="str">
        <x:v>File 11</x:v>
      </x:c>
      <x:c r="D16" s="20" t="str">
        <x:v>Adverbs, infinitives, and articles</x:v>
      </x:c>
      <x:c r="E16" s="20" t="str">
        <x:v>manner/modifiers; verb + to; the/no article</x:v>
      </x:c>
      <x:c r="F16" s="20" t="str">
        <x:v>Only verb + to has direct level coverage.</x:v>
      </x:c>
      <x:c r="G16" s="20" t="str">
        <x:v>a2</x:v>
      </x:c>
      <x:c r="H16" s="21" t="n">
        <x:v>20</x:v>
      </x:c>
    </x:row>
    <x:row r="17">
      <x:c r="A17" s="20" t="str">
        <x:v>High</x:v>
      </x:c>
      <x:c r="B17" s="20" t="str">
        <x:v>Intermediate Plus</x:v>
      </x:c>
      <x:c r="C17" s="20" t="str">
        <x:v>3B</x:v>
      </x:c>
      <x:c r="D17" s="20" t="str">
        <x:v>Prepositions</x:v>
      </x:c>
      <x:c r="E17" s="20" t="str">
        <x:v>preposition choice and common sentence patterns</x:v>
      </x:c>
      <x:c r="F17" s="20" t="str">
        <x:v>The only completely missing Intermediate Plus point.</x:v>
      </x:c>
      <x:c r="G17" s="20" t="str">
        <x:v>b1,b2</x:v>
      </x:c>
      <x:c r="H17" s="21" t="n">
        <x:v>20</x:v>
      </x:c>
    </x:row>
    <x:row r="18">
      <x:c r="A18" s="20" t="str">
        <x:v>Medium</x:v>
      </x:c>
      <x:c r="B18" s="20" t="str">
        <x:v>Intermediate Plus</x:v>
      </x:c>
      <x:c r="C18" s="20" t="str">
        <x:v>1A, 2B</x:v>
      </x:c>
      <x:c r="D18" s="20" t="str">
        <x:v>Pronouns and possessive forms</x:v>
      </x:c>
      <x:c r="E18" s="20" t="str">
        <x:v>personal/generic/reference pronouns; possessive forms at B1+</x:v>
      </x:c>
      <x:c r="F18" s="20" t="str">
        <x:v>Existing tests are too narrow or too advanced.</x:v>
      </x:c>
      <x:c r="G18" s="20" t="str">
        <x:v>b1,b2</x:v>
      </x:c>
      <x:c r="H18" s="21" t="n">
        <x:v>20</x:v>
      </x:c>
    </x:row>
    <x:row r="19">
      <x:c r="A19" s="20" t="str">
        <x:v>Medium</x:v>
      </x:c>
      <x:c r="B19" s="20" t="str">
        <x:v>Intermediate Plus</x:v>
      </x:c>
      <x:c r="C19" s="20" t="str">
        <x:v>1B</x:v>
      </x:c>
      <x:c r="D19" s="20" t="str">
        <x:v>Adjectives at B1+</x:v>
      </x:c>
      <x:c r="E19" s="20" t="str">
        <x:v>the exact File 1B adjective scope</x:v>
      </x:c>
      <x:c r="F19" s="20" t="str">
        <x:v>Current B2 tests cover only selected subtopics.</x:v>
      </x:c>
      <x:c r="G19" s="20" t="str">
        <x:v>b1,b2</x:v>
      </x:c>
      <x:c r="H19" s="21" t="n">
        <x:v>15</x:v>
      </x:c>
    </x:row>
    <x:row r="20">
      <x:c r="A20" s="20" t="str">
        <x:v>Medium</x:v>
      </x:c>
      <x:c r="B20" s="20" t="str">
        <x:v>Intermediate Plus</x:v>
      </x:c>
      <x:c r="C20" s="20" t="str">
        <x:v>7A</x:v>
      </x:c>
      <x:c r="D20" s="20" t="str">
        <x:v>Phrasal verbs beyond word order</x:v>
      </x:c>
      <x:c r="E20" s="20" t="str">
        <x:v>meaning, particle choice, transitivity, separability</x:v>
      </x:c>
      <x:c r="F20" s="20" t="str">
        <x:v>Current test concentrates on word order.</x:v>
      </x:c>
      <x:c r="G20" s="20" t="str">
        <x:v>b1,b2</x:v>
      </x:c>
      <x:c r="H20" s="21" t="n">
        <x:v>20</x:v>
      </x:c>
    </x:row>
    <x:row r="21">
      <x:c r="A21" s="20" t="str">
        <x:v>Medium</x:v>
      </x:c>
      <x:c r="B21" s="20" t="str">
        <x:v>Intermediate Plus</x:v>
      </x:c>
      <x:c r="C21" s="20" t="str">
        <x:v>10A-10B</x:v>
      </x:c>
      <x:c r="D21" s="20" t="str">
        <x:v>Be/do/have and cumulative verb review</x:v>
      </x:c>
      <x:c r="E21" s="20" t="str">
        <x:v>auxiliary vs main verbs; B1+ end-of-course tense/form review</x:v>
      </x:c>
      <x:c r="F21" s="20" t="str">
        <x:v>Coverage is fragmented across lower-level tests.</x:v>
      </x:c>
      <x:c r="G21" s="20" t="str">
        <x:v>b1,b2</x:v>
      </x:c>
      <x:c r="H21" s="21" t="n">
        <x:v>25</x:v>
      </x:c>
    </x:row>
    <x:row r="22">
      <x:c r="A22" s="20" t="str">
        <x:v>Medium</x:v>
      </x:c>
      <x:c r="B22" s="20" t="str">
        <x:v>Upper-Intermediate</x:v>
      </x:c>
      <x:c r="C22" s="20" t="str">
        <x:v>1B</x:v>
      </x:c>
      <x:c r="D22" s="20" t="str">
        <x:v>The...the... comparatives</x:v>
      </x:c>
      <x:c r="E22" s="20" t="str">
        <x:v>proportional comparative structures</x:v>
      </x:c>
      <x:c r="F22" s="20" t="str">
        <x:v>Auxiliary verbs are covered; this subpoint is not.</x:v>
      </x:c>
      <x:c r="G22" s="20" t="str">
        <x:v>b2</x:v>
      </x:c>
      <x:c r="H22" s="21" t="n">
        <x:v>12</x:v>
      </x:c>
    </x:row>
    <x:row r="23">
      <x:c r="A23" s="20" t="str">
        <x:v>Medium</x:v>
      </x:c>
      <x:c r="B23" s="20" t="str">
        <x:v>Upper-Intermediate</x:v>
      </x:c>
      <x:c r="C23" s="20" t="str">
        <x:v>3A</x:v>
      </x:c>
      <x:c r="D23" s="20" t="str">
        <x:v>So / such...that</x:v>
      </x:c>
      <x:c r="E23" s="20" t="str">
        <x:v>result clauses with so, such, too, enough where relevant</x:v>
      </x:c>
      <x:c r="F23" s="20" t="str">
        <x:v>Narrative tenses are covered but this subpoint is absent.</x:v>
      </x:c>
      <x:c r="G23" s="20" t="str">
        <x:v>b2</x:v>
      </x:c>
      <x:c r="H23" s="21" t="n">
        <x:v>12</x:v>
      </x:c>
    </x:row>
    <x:row r="24">
      <x:c r="A24" s="20" t="str">
        <x:v>Medium</x:v>
      </x:c>
      <x:c r="B24" s="20" t="str">
        <x:v>Upper-Intermediate</x:v>
      </x:c>
      <x:c r="C24" s="20" t="str">
        <x:v>7A</x:v>
      </x:c>
      <x:c r="D24" s="20" t="str">
        <x:v>Would rather</x:v>
      </x:c>
      <x:c r="E24" s="20" t="str">
        <x:v>present/past preference and subject changes</x:v>
      </x:c>
      <x:c r="F24" s="20" t="str">
        <x:v>Past modals are covered; would rather is not.</x:v>
      </x:c>
      <x:c r="G24" s="20" t="str">
        <x:v>b2</x:v>
      </x:c>
      <x:c r="H24" s="21" t="n">
        <x:v>12</x:v>
      </x:c>
    </x:row>
    <x:row r="25">
      <x:c r="A25" s="20" t="str">
        <x:v>High</x:v>
      </x:c>
      <x:c r="B25" s="20" t="str">
        <x:v>Advanced</x:v>
      </x:c>
      <x:c r="C25" s="20" t="str">
        <x:v>6A</x:v>
      </x:c>
      <x:c r="D25" s="20" t="str">
        <x:v>Verb + object patterns</x:v>
      </x:c>
      <x:c r="E25" s="20" t="str">
        <x:v>object + infinitive/gerund; meaning changes; passive equivalents</x:v>
      </x:c>
      <x:c r="F25" s="20" t="str">
        <x:v>No focused C1 test.</x:v>
      </x:c>
      <x:c r="G25" s="20" t="str">
        <x:v>c1</x:v>
      </x:c>
      <x:c r="H25" s="21" t="n">
        <x:v>20</x:v>
      </x:c>
    </x:row>
    <x:row r="26">
      <x:c r="A26" s="20" t="str">
        <x:v>Medium</x:v>
      </x:c>
      <x:c r="B26" s="20" t="str">
        <x:v>Advanced</x:v>
      </x:c>
      <x:c r="C26" s="20" t="str">
        <x:v>6B-8B</x:v>
      </x:c>
      <x:c r="D26" s="20" t="str">
        <x:v>C1 upgrades for existing B2 topics</x:v>
      </x:c>
      <x:c r="E26" s="20" t="str">
        <x:v>conditionals; modal functions; perception; gerunds/infinitives; future arrangements</x:v>
      </x:c>
      <x:c r="F26" s="20" t="str">
        <x:v>Relevant tests exist only at lower levels.</x:v>
      </x:c>
      <x:c r="G26" s="20" t="str">
        <x:v>c1</x:v>
      </x:c>
      <x:c r="H26" s="21" t="n">
        <x:v>30</x:v>
      </x:c>
    </x:row>
    <x:row r="27">
      <x:c r="A27" s="20" t="str">
        <x:v>High</x:v>
      </x:c>
      <x:c r="B27" s="20" t="str">
        <x:v>Advanced</x:v>
      </x:c>
      <x:c r="C27" s="20" t="str">
        <x:v>9A</x:v>
      </x:c>
      <x:c r="D27" s="20" t="str">
        <x:v>Ellipsis</x:v>
      </x:c>
      <x:c r="E27" s="20" t="str">
        <x:v>auxiliary ellipsis, substitution, reduced clauses, avoiding repetition</x:v>
      </x:c>
      <x:c r="F27" s="20" t="str">
        <x:v>Completely missing.</x:v>
      </x:c>
      <x:c r="G27" s="20" t="str">
        <x:v>c1</x:v>
      </x:c>
      <x:c r="H27" s="21" t="n">
        <x:v>20</x:v>
      </x:c>
    </x:row>
    <x:row r="28">
      <x:c r="A28" s="20" t="str">
        <x:v>High</x:v>
      </x:c>
      <x:c r="B28" s="20" t="str">
        <x:v>Advanced</x:v>
      </x:c>
      <x:c r="C28" s="20" t="str">
        <x:v>9B</x:v>
      </x:c>
      <x:c r="D28" s="20" t="str">
        <x:v>Compound and possessive nouns</x:v>
      </x:c>
      <x:c r="E28" s="20" t="str">
        <x:v>compound patterns; possessive forms; double genitives</x:v>
      </x:c>
      <x:c r="F28" s="20" t="str">
        <x:v>Completely missing.</x:v>
      </x:c>
      <x:c r="G28" s="20" t="str">
        <x:v>c1</x:v>
      </x:c>
      <x:c r="H28" s="21" t="n">
        <x:v>18</x:v>
      </x:c>
    </x:row>
    <x:row r="29">
      <x:c r="A29" s="20" t="str">
        <x:v>Medium</x:v>
      </x:c>
      <x:c r="B29" s="20" t="str">
        <x:v>Advanced</x:v>
      </x:c>
      <x:c r="C29" s="20" t="str">
        <x:v>10A</x:v>
      </x:c>
      <x:c r="D29" s="20" t="str">
        <x:v>C1 relative clauses</x:v>
      </x:c>
      <x:c r="E29" s="20" t="str">
        <x:v>complex relatives, prepositions, reduced/cleft-adjacent structures</x:v>
      </x:c>
      <x:c r="F29" s="20" t="str">
        <x:v>Only B1 practice exists.</x:v>
      </x:c>
      <x:c r="G29" s="20" t="str">
        <x:v>c1</x:v>
      </x:c>
      <x:c r="H29" s="21" t="n">
        <x:v>18</x:v>
      </x:c>
    </x:row>
    <x:row r="30">
      <x:c r="A30" s="20" t="str">
        <x:v>High</x:v>
      </x:c>
      <x:c r="B30" s="20" t="str">
        <x:v>Advanced</x:v>
      </x:c>
      <x:c r="C30" s="20" t="str">
        <x:v>10B</x:v>
      </x:c>
      <x:c r="D30" s="20" t="str">
        <x:v>Cleft sentences</x:v>
      </x:c>
      <x:c r="E30" s="20" t="str">
        <x:v>it-clefts, wh-clefts, all-clefts and emphasis</x:v>
      </x:c>
      <x:c r="F30" s="20" t="str">
        <x:v>Completely missing.</x:v>
      </x:c>
      <x:c r="G30" s="20" t="str">
        <x:v>c1</x:v>
      </x:c>
      <x:c r="H30" s="21" t="n">
        <x:v>20</x:v>
      </x:c>
    </x:row>
    <x:row r="31">
      <x:c r="A31" s="20" t="str">
        <x:v>High</x:v>
      </x:c>
      <x:c r="B31" s="20" t="str">
        <x:v>Advanced Plus</x:v>
      </x:c>
      <x:c r="C31" s="20" t="str">
        <x:v>Files 1-2</x:v>
      </x:c>
      <x:c r="D31" s="20" t="str">
        <x:v>C1+ modals, noun phrases, and participle clauses</x:v>
      </x:c>
      <x:c r="E31" s="20" t="str">
        <x:v>fine distinctions in modals; complex noun phrases; participle clauses</x:v>
      </x:c>
      <x:c r="F31" s="20" t="str">
        <x:v>No direct C1+ tests.</x:v>
      </x:c>
      <x:c r="G31" s="20" t="str">
        <x:v>c1,c2</x:v>
      </x:c>
      <x:c r="H31" s="21" t="n">
        <x:v>36</x:v>
      </x:c>
    </x:row>
    <x:row r="32">
      <x:c r="A32" s="20" t="str">
        <x:v>High</x:v>
      </x:c>
      <x:c r="B32" s="20" t="str">
        <x:v>Advanced Plus</x:v>
      </x:c>
      <x:c r="C32" s="20" t="str">
        <x:v>Files 3-4</x:v>
      </x:c>
      <x:c r="D32" s="20" t="str">
        <x:v>Determiners, word order, cause/effect, and aspect</x:v>
      </x:c>
      <x:c r="E32" s="20" t="str">
        <x:v>advanced determiners; clause order; causal structures; perfect/continuous aspect</x:v>
      </x:c>
      <x:c r="F32" s="20" t="str">
        <x:v>Only lower-level analogues exist.</x:v>
      </x:c>
      <x:c r="G32" s="20" t="str">
        <x:v>c1,c2</x:v>
      </x:c>
      <x:c r="H32" s="21" t="n">
        <x:v>40</x:v>
      </x:c>
    </x:row>
    <x:row r="33">
      <x:c r="A33" s="20" t="str">
        <x:v>High</x:v>
      </x:c>
      <x:c r="B33" s="20" t="str">
        <x:v>Advanced Plus</x:v>
      </x:c>
      <x:c r="C33" s="20" t="str">
        <x:v>File 5</x:v>
      </x:c>
      <x:c r="D33" s="20" t="str">
        <x:v>Sentence patterns and advanced comparison</x:v>
      </x:c>
      <x:c r="E33" s="20" t="str">
        <x:v>preposition patterns; sophisticated comparing/contrasting</x:v>
      </x:c>
      <x:c r="F33" s="20" t="str">
        <x:v>No direct tests.</x:v>
      </x:c>
      <x:c r="G33" s="20" t="str">
        <x:v>c1,c2</x:v>
      </x:c>
      <x:c r="H33" s="21" t="n">
        <x:v>24</x:v>
      </x:c>
    </x:row>
    <x:row r="34">
      <x:c r="A34" s="20" t="str">
        <x:v>High</x:v>
      </x:c>
      <x:c r="B34" s="20" t="str">
        <x:v>Advanced Plus</x:v>
      </x:c>
      <x:c r="C34" s="20" t="str">
        <x:v>File 6</x:v>
      </x:c>
      <x:c r="D34" s="20" t="str">
        <x:v>Adverbs and agreement</x:v>
      </x:c>
      <x:c r="E34" s="20" t="str">
        <x:v>advanced adverb placement; singular/plural agreement</x:v>
      </x:c>
      <x:c r="F34" s="20" t="str">
        <x:v>Agreement is entirely missing.</x:v>
      </x:c>
      <x:c r="G34" s="20" t="str">
        <x:v>c1,c2</x:v>
      </x:c>
      <x:c r="H34" s="21" t="n">
        <x:v>24</x:v>
      </x:c>
    </x:row>
    <x:row r="35">
      <x:c r="A35" s="20" t="str">
        <x:v>High</x:v>
      </x:c>
      <x:c r="B35" s="20" t="str">
        <x:v>Advanced Plus</x:v>
      </x:c>
      <x:c r="C35" s="20" t="str">
        <x:v>File 7</x:v>
      </x:c>
      <x:c r="D35" s="20" t="str">
        <x:v>Complex passive and special tense uses</x:v>
      </x:c>
      <x:c r="E35" s="20" t="str">
        <x:v>complex passive forms; marked/special tense uses</x:v>
      </x:c>
      <x:c r="F35" s="20" t="str">
        <x:v>Only B2 passive practice exists.</x:v>
      </x:c>
      <x:c r="G35" s="20" t="str">
        <x:v>c1,c2</x:v>
      </x:c>
      <x:c r="H35" s="21" t="n">
        <x:v>24</x:v>
      </x:c>
    </x:row>
    <x:row r="36">
      <x:c r="A36" s="20" t="str">
        <x:v>High</x:v>
      </x:c>
      <x:c r="B36" s="20" t="str">
        <x:v>Advanced Plus</x:v>
      </x:c>
      <x:c r="C36" s="20" t="str">
        <x:v>File 8</x:v>
      </x:c>
      <x:c r="D36" s="20" t="str">
        <x:v>Conditionality and adjective order at C1+</x:v>
      </x:c>
      <x:c r="E36" s="20" t="str">
        <x:v>formal/implicit conditionality; nuanced adjective ordering</x:v>
      </x:c>
      <x:c r="F36" s="20" t="str">
        <x:v>Only B2 analogues exist.</x:v>
      </x:c>
      <x:c r="G36" s="20" t="str">
        <x:v>c1,c2</x:v>
      </x:c>
      <x:c r="H36" s="21" t="n">
        <x:v>24</x:v>
      </x:c>
    </x:row>
    <x:row r="37">
      <x:c r="A37" s="20" t="str">
        <x:v>High</x:v>
      </x:c>
      <x:c r="B37" s="20" t="str">
        <x:v>Platform</x:v>
      </x:c>
      <x:c r="C37" s="20" t="str">
        <x:v>Metadata</x:v>
      </x:c>
      <x:c r="D37" s="20" t="str">
        <x:v>Add English File mapping fields</x:v>
      </x:c>
      <x:c r="E37" s="20" t="str">
        <x:v>ef4Level, ef4File, ef4Lesson, syllabusPoint, coverageVersion</x:v>
      </x:c>
      <x:c r="F37" s="20" t="str">
        <x:v>Current activities only carry broad CEFR tags, which makes course sequencing and maintenance difficult.</x:v>
      </x:c>
      <x:c r="G37" s="20" t="str">
        <x:v>all</x:v>
      </x:c>
      <x:c r="H37" s="21" t="n">
        <x:v>0</x:v>
      </x:c>
    </x:row>
    <x:row r="38">
      <x:c r="A38" s="20" t="str">
        <x:v>High</x:v>
      </x:c>
      <x:c r="B38" s="20" t="str">
        <x:v>Platform</x:v>
      </x:c>
      <x:c r="C38" s="20" t="str">
        <x:v>Filters</x:v>
      </x:c>
      <x:c r="D38" s="20" t="str">
        <x:v>Add A1, A1+, B1+, and C1+ pathways</x:v>
      </x:c>
      <x:c r="E38" s="20" t="str">
        <x:v>Expose course-appropriate filters or an English File level selector</x:v>
      </x:c>
      <x:c r="F38" s="20" t="str">
        <x:v>Current filter list is A2/B1/B2/C1/C2, so Beginner and Elementary foundations cannot be represented cleanly.</x:v>
      </x:c>
      <x:c r="G38" s="20" t="str">
        <x:v>all</x:v>
      </x:c>
      <x:c r="H38" s="21" t="n">
        <x:v>0</x:v>
      </x:c>
    </x:row>
    <x:row r="39">
      <x:c r="A39" s="20" t="str">
        <x:v>Medium</x:v>
      </x:c>
      <x:c r="B39" s="20" t="str">
        <x:v>Platform</x:v>
      </x:c>
      <x:c r="C39" s="20" t="str">
        <x:v>Quality</x:v>
      </x:c>
      <x:c r="D39" s="20" t="str">
        <x:v>Consolidate overlapping test families</x:v>
      </x:c>
      <x:c r="E39" s="20" t="str">
        <x:v>second conditional; present perfect vs past; quantifiers; gerunds/infinitives; passive; reported speech</x:v>
      </x:c>
      <x:c r="F39" s="20" t="str">
        <x:v>Several topics have multiple overlapping tests while entire level bands remain empty.</x:v>
      </x:c>
      <x:c r="G39" s="20" t="str">
        <x:v>all</x:v>
      </x:c>
      <x:c r="H39" s="21" t="n">
        <x:v>0</x:v>
      </x:c>
    </x:row>
  </x:sheetData>
  <x:conditionalFormatting sqref="A5:A39">
    <x:cfRule type="containsText" dxfId="6" priority="1" operator="containsText" text="High"/>
    <x:cfRule type="containsText" dxfId="7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bd529e7c08d142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72" hidden="0" customWidth="1"/>
    <x:col min="4" max="4" width="30" hidden="0" customWidth="1"/>
  </x:cols>
  <x:sheetData>
    <x:row r="1">
      <x:c r="A1" s="2" t="str">
        <x:v>Sources and method</x:v>
      </x:c>
      <x:c r="B1" s="43"/>
      <x:c r="C1" s="43"/>
      <x:c r="D1" s="43"/>
    </x:row>
    <x:row r="2">
      <x:c r="A2" s="3" t="str">
        <x:v>The audit compares the repository's Mini Grammar Tests with the grammar column of each English File 4th Edition syllabus checklist.</x:v>
      </x:c>
      <x:c r="B2" s="44"/>
      <x:c r="C2" s="44"/>
      <x:c r="D2" s="44"/>
    </x:row>
    <x:row r="3">
      <x:c r="A3" s="18"/>
      <x:c r="B3" s="18"/>
      <x:c r="C3" s="18"/>
      <x:c r="D3" s="18"/>
    </x:row>
    <x:row r="4" ht="34" customHeight="1">
      <x:c r="A4" s="15" t="str">
        <x:v>Source</x:v>
      </x:c>
      <x:c r="B4" s="16" t="str">
        <x:v>Location</x:v>
      </x:c>
      <x:c r="C4" s="16" t="str">
        <x:v>Use in audit</x:v>
      </x:c>
      <x:c r="D4" s="17" t="str">
        <x:v>Authority / type</x:v>
      </x:c>
    </x:row>
    <x:row r="5">
      <x:c r="A5" s="20" t="str">
        <x:v>Repository mini tests</x:v>
      </x:c>
      <x:c r="B5" s="20" t="str">
        <x:v>src/data/hubGrammarActivities.js</x:v>
      </x:c>
      <x:c r="C5" s="20" t="str">
        <x:v>85 topic tests; titles, tags, descriptions, and item counts inspected.</x:v>
      </x:c>
      <x:c r="D5" s="20" t="str">
        <x:v>Local repository</x:v>
      </x:c>
    </x:row>
    <x:row r="6">
      <x:c r="A6" s="20" t="str">
        <x:v>Repository course tests</x:v>
      </x:c>
      <x:c r="B6" s="20" t="str">
        <x:v>src/data/hubCourseTestTemplates.js</x:v>
      </x:c>
      <x:c r="C6" s="20" t="str">
        <x:v>Progress/end-of-course templates inventoried separately.</x:v>
      </x:c>
      <x:c r="D6" s="20" t="str">
        <x:v>Local repository</x:v>
      </x:c>
    </x:row>
    <x:row r="7">
      <x:c r="A7" s="20" t="str">
        <x:v>Oxford series overview</x:v>
      </x:c>
      <x:c r="B7" s="20" t="str">
        <x:v>https://www.oup.com.au/elt/english-file-4e</x:v>
      </x:c>
      <x:c r="C7" s="20" t="str">
        <x:v>Confirms the normal (non-American) fourth-edition series and level sequence.</x:v>
      </x:c>
      <x:c r="D7" s="20" t="str">
        <x:v>Oxford University Press</x:v>
      </x:c>
    </x:row>
    <x:row r="8">
      <x:c r="A8" s="20" t="str">
        <x:v>Beginner syllabus</x:v>
      </x:c>
      <x:c r="B8" s="20" t="str">
        <x:v>https://assets4.theenglishfarm.com/cdn/ff/tbgFQFx6lVaBpvJALUEnfBhNK7JUgMEn6JDijps4Mv0/1727027356/public/english_file_beginner_sample_pages.pdf</x:v>
      </x:c>
      <x:c r="C8" s="20" t="str">
        <x:v>Grammar-column syllabus checklist used for row-by-row comparison.</x:v>
      </x:c>
      <x:c r="D8" s="20" t="str">
        <x:v>English File 4th Edition source/sample</x:v>
      </x:c>
    </x:row>
    <x:row r="9">
      <x:c r="A9" s="20" t="str">
        <x:v>Elementary syllabus</x:v>
      </x:c>
      <x:c r="B9" s="20" t="str">
        <x:v>https://theenglishfarm.com/sites/default/files/english_file_elementary_sample_pages.pdf</x:v>
      </x:c>
      <x:c r="C9" s="20" t="str">
        <x:v>Grammar-column syllabus checklist used for row-by-row comparison.</x:v>
      </x:c>
      <x:c r="D9" s="20" t="str">
        <x:v>English File 4th Edition source/sample</x:v>
      </x:c>
    </x:row>
    <x:row r="10">
      <x:c r="A10" s="20" t="str">
        <x:v>Pre-Intermediate syllabus</x:v>
      </x:c>
      <x:c r="B10" s="20" t="str">
        <x:v>https://studylib.net/doc/27609549/english-file-4th-edition-pre-intermediate-tg-internationa...</x:v>
      </x:c>
      <x:c r="C10" s="20" t="str">
        <x:v>Grammar-column syllabus checklist used for row-by-row comparison.</x:v>
      </x:c>
      <x:c r="D10" s="20" t="str">
        <x:v>English File 4th Edition source/sample</x:v>
      </x:c>
    </x:row>
    <x:row r="11">
      <x:c r="A11" s="20" t="str">
        <x:v>Intermediate syllabus</x:v>
      </x:c>
      <x:c r="B11" s="20" t="str">
        <x:v>https://theenglishfarm.com/sites/default/files/english_file_intermediate_sample_pages.pdf</x:v>
      </x:c>
      <x:c r="C11" s="20" t="str">
        <x:v>Grammar-column syllabus checklist used for row-by-row comparison.</x:v>
      </x:c>
      <x:c r="D11" s="20" t="str">
        <x:v>English File 4th Edition source/sample</x:v>
      </x:c>
    </x:row>
    <x:row r="12">
      <x:c r="A12" s="20" t="str">
        <x:v>Intermediate Plus syllabus</x:v>
      </x:c>
      <x:c r="B12" s="20" t="str">
        <x:v>https://studylib.net/doc/28241381/englishfile-4th-edition-intermediate-plus-tg</x:v>
      </x:c>
      <x:c r="C12" s="20" t="str">
        <x:v>Grammar-column syllabus checklist used for row-by-row comparison.</x:v>
      </x:c>
      <x:c r="D12" s="20" t="str">
        <x:v>English File 4th Edition source/sample</x:v>
      </x:c>
    </x:row>
    <x:row r="13">
      <x:c r="A13" s="20" t="str">
        <x:v>Upper-Intermediate syllabus</x:v>
      </x:c>
      <x:c r="B13" s="20" t="str">
        <x:v>https://dokumen.pub/english-file-upper-intermediate-teachers-guide-fourthnbsped-9780194039819.html</x:v>
      </x:c>
      <x:c r="C13" s="20" t="str">
        <x:v>Grammar-column syllabus checklist used for row-by-row comparison.</x:v>
      </x:c>
      <x:c r="D13" s="20" t="str">
        <x:v>English File 4th Edition source/sample</x:v>
      </x:c>
    </x:row>
    <x:row r="14">
      <x:c r="A14" s="20" t="str">
        <x:v>Advanced syllabus</x:v>
      </x:c>
      <x:c r="B14" s="20" t="str">
        <x:v>https://theenglishfarm.com/sites/default/files/english_file_advanced_sample_pages.pdf</x:v>
      </x:c>
      <x:c r="C14" s="20" t="str">
        <x:v>Grammar-column syllabus checklist used for row-by-row comparison.</x:v>
      </x:c>
      <x:c r="D14" s="20" t="str">
        <x:v>English File 4th Edition source/sample</x:v>
      </x:c>
    </x:row>
    <x:row r="15">
      <x:c r="A15" s="20" t="str">
        <x:v>Advanced Plus syllabus</x:v>
      </x:c>
      <x:c r="B15" s="20" t="str">
        <x:v>https://studylib.net/doc/28242501/english-file-4e-advanced-plus--teachers-guide</x:v>
      </x:c>
      <x:c r="C15" s="20" t="str">
        <x:v>Grammar-column syllabus checklist used for row-by-row comparison.</x:v>
      </x:c>
      <x:c r="D15" s="20" t="str">
        <x:v>English File 4th Edition source/sample</x:v>
      </x:c>
    </x:row>
    <x:row r="16">
      <x:c r="A16" s="20" t="str">
        <x:v>Method</x:v>
      </x:c>
      <x:c r="B16" s="20" t="str"/>
      <x:c r="C16" s="20" t="str">
        <x:v>Direct = a current mini test targets the same grammar at a suitable level. Partial = only part of a composite syllabus point is tested. Adjacent level = related content exists but at a meaningfully different difficulty or scope. Missing = no usable focused mini test.</x:v>
      </x:c>
      <x:c r="D16" s="20" t="str">
        <x:v>Audit rule</x:v>
      </x:c>
    </x:row>
    <x:row r="17">
      <x:c r="A17" s="20" t="str">
        <x:v>Scope note</x:v>
      </x:c>
      <x:c r="B17" s="20" t="str"/>
      <x:c r="C17" s="20" t="str">
        <x:v>Course progress/end-of-course templates do not count as mini-test coverage because they are broad summative assessments and are not searchable topic practice.</x:v>
      </x:c>
      <x:c r="D17" s="20" t="str">
        <x:v>Audit rule</x:v>
      </x:c>
    </x:row>
    <x:row r="18">
      <x:c r="A18" s="20" t="str">
        <x:v>Level-model note</x:v>
      </x:c>
      <x:c r="B18" s="20" t="str"/>
      <x:c r="C18" s="20" t="str">
        <x:v>The current Mini Grammar Test filter exposes A2, B1, B2, C1, and C2 only. There are no A1-tagged or C2-tagged activities in the repository snapshot.</x:v>
      </x:c>
      <x:c r="D18" s="20" t="str">
        <x:v>Repository observation</x:v>
      </x:c>
    </x:row>
    <x:row r="19">
      <x:c r="A19" s="20" t="str">
        <x:v>Copyright note</x:v>
      </x:c>
      <x:c r="B19" s="20" t="str"/>
      <x:c r="C19" s="20" t="str">
        <x:v>Only syllabus labels and short grammar-point names are recorded. The workbook does not reproduce textbook exercises or answer keys.</x:v>
      </x:c>
      <x:c r="D19" s="20" t="str">
        <x:v>Scope limitation</x:v>
      </x:c>
    </x:row>
  </x:sheetData>
  <x:pageMargins left="0.7" right="0.7" top="0.75" bottom="0.75" header="0.3" footer="0.3"/>
  <x:tableParts count="1">
    <x:tablePart xmlns:r="http://schemas.openxmlformats.org/officeDocument/2006/relationships" r:id="R6d583c22e2114da3"/>
  </x:tableParts>
</x:worksheet>
</file>